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D70AF84E-6142-4732-B149-353D3AE067B8}" xr6:coauthVersionLast="47" xr6:coauthVersionMax="47" xr10:uidLastSave="{00000000-0000-0000-0000-000000000000}"/>
  <bookViews>
    <workbookView xWindow="-108" yWindow="-108" windowWidth="23256" windowHeight="12456" activeTab="10" xr2:uid="{C4F432EB-7CB8-4BA9-B73B-A114A2165636}"/>
  </bookViews>
  <sheets>
    <sheet name="01-04" sheetId="28" r:id="rId1"/>
    <sheet name="02-04" sheetId="29" r:id="rId2"/>
    <sheet name="03-04" sheetId="31" r:id="rId3"/>
    <sheet name="04-04" sheetId="32" r:id="rId4"/>
    <sheet name="05-04" sheetId="34" r:id="rId5"/>
    <sheet name="06-04" sheetId="33" r:id="rId6"/>
    <sheet name="07-04" sheetId="35" r:id="rId7"/>
    <sheet name="08-04" sheetId="36" r:id="rId8"/>
    <sheet name="09-04" sheetId="37" r:id="rId9"/>
    <sheet name="10-04" sheetId="38" r:id="rId10"/>
    <sheet name="11-04" sheetId="39" r:id="rId11"/>
    <sheet name="ملخص شهر 4" sheetId="30" r:id="rId1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361" i="39" l="1"/>
  <c r="L360" i="39"/>
  <c r="L359" i="39"/>
  <c r="L358" i="39"/>
  <c r="L357" i="39"/>
  <c r="L356" i="39"/>
  <c r="L355" i="39"/>
  <c r="L354" i="39"/>
  <c r="L353" i="39"/>
  <c r="L352" i="39"/>
  <c r="L351" i="39"/>
  <c r="L350" i="39"/>
  <c r="L349" i="39"/>
  <c r="L348" i="39"/>
  <c r="L347" i="39"/>
  <c r="L346" i="39"/>
  <c r="L345" i="39"/>
  <c r="L344" i="39"/>
  <c r="L343" i="39"/>
  <c r="L342" i="39"/>
  <c r="L341" i="39"/>
  <c r="L340" i="39"/>
  <c r="L339" i="39"/>
  <c r="L338" i="39"/>
  <c r="L337" i="39"/>
  <c r="L336" i="39"/>
  <c r="L335" i="39"/>
  <c r="L334" i="39"/>
  <c r="L333" i="39"/>
  <c r="L332" i="39"/>
  <c r="L331" i="39"/>
  <c r="L330" i="39"/>
  <c r="L329" i="39"/>
  <c r="L328" i="39"/>
  <c r="L327" i="39"/>
  <c r="L326" i="39"/>
  <c r="L325" i="39"/>
  <c r="L324" i="39"/>
  <c r="L323" i="39"/>
  <c r="L322" i="39"/>
  <c r="L321" i="39"/>
  <c r="L320" i="39"/>
  <c r="L319" i="39"/>
  <c r="L318" i="39"/>
  <c r="L317" i="39"/>
  <c r="L316" i="39"/>
  <c r="L315" i="39"/>
  <c r="L314" i="39"/>
  <c r="L313" i="39"/>
  <c r="L312" i="39"/>
  <c r="L311" i="39"/>
  <c r="L310" i="39"/>
  <c r="L309" i="39"/>
  <c r="L308" i="39"/>
  <c r="L307" i="39"/>
  <c r="L306" i="39"/>
  <c r="L305" i="39"/>
  <c r="L304" i="39"/>
  <c r="L303" i="39"/>
  <c r="L302" i="39"/>
  <c r="L301" i="39"/>
  <c r="L300" i="39"/>
  <c r="L299" i="39"/>
  <c r="L298" i="39"/>
  <c r="L297" i="39"/>
  <c r="L296" i="39"/>
  <c r="L295" i="39"/>
  <c r="L294" i="39"/>
  <c r="L293" i="39"/>
  <c r="L292" i="39"/>
  <c r="L291" i="39"/>
  <c r="L290" i="39"/>
  <c r="L289" i="39"/>
  <c r="L288" i="39"/>
  <c r="L287" i="39"/>
  <c r="L286" i="39"/>
  <c r="L285" i="39"/>
  <c r="L284" i="39"/>
  <c r="L283" i="39"/>
  <c r="L282" i="39"/>
  <c r="L281" i="39"/>
  <c r="L280" i="39"/>
  <c r="L279" i="39"/>
  <c r="L278" i="39"/>
  <c r="L277" i="39"/>
  <c r="L276" i="39"/>
  <c r="L275" i="39"/>
  <c r="L274" i="39"/>
  <c r="L273" i="39"/>
  <c r="L272" i="39"/>
  <c r="L271" i="39"/>
  <c r="L270" i="39"/>
  <c r="L269" i="39"/>
  <c r="L268" i="39"/>
  <c r="L267" i="39"/>
  <c r="L266" i="39"/>
  <c r="L265" i="39"/>
  <c r="L264" i="39"/>
  <c r="L263" i="39"/>
  <c r="L262" i="39"/>
  <c r="L261" i="39"/>
  <c r="L260" i="39"/>
  <c r="L259" i="39"/>
  <c r="L258" i="39"/>
  <c r="L257" i="39"/>
  <c r="L256" i="39"/>
  <c r="L255" i="39"/>
  <c r="L254" i="39"/>
  <c r="L253" i="39"/>
  <c r="L252" i="39"/>
  <c r="L251" i="39"/>
  <c r="L250" i="39"/>
  <c r="L249" i="39"/>
  <c r="L248" i="39"/>
  <c r="L247" i="39"/>
  <c r="L246" i="39"/>
  <c r="L245" i="39"/>
  <c r="L244" i="39"/>
  <c r="L243" i="39"/>
  <c r="L242" i="39"/>
  <c r="L241" i="39"/>
  <c r="L240" i="39"/>
  <c r="L239" i="39"/>
  <c r="L238" i="39"/>
  <c r="L237" i="39"/>
  <c r="L236" i="39"/>
  <c r="L235" i="39"/>
  <c r="L234" i="39"/>
  <c r="L233" i="39"/>
  <c r="L232" i="39"/>
  <c r="L231" i="39"/>
  <c r="L230" i="39"/>
  <c r="L229" i="39"/>
  <c r="L228" i="39"/>
  <c r="L227" i="39"/>
  <c r="L226" i="39"/>
  <c r="L225" i="39"/>
  <c r="L224" i="39"/>
  <c r="L223" i="39"/>
  <c r="L222" i="39"/>
  <c r="L221" i="39"/>
  <c r="L220" i="39"/>
  <c r="L219" i="39"/>
  <c r="L218" i="39"/>
  <c r="L217" i="39"/>
  <c r="L216" i="39"/>
  <c r="L215" i="39"/>
  <c r="L214" i="39"/>
  <c r="L213" i="39"/>
  <c r="L212" i="39"/>
  <c r="L211" i="39"/>
  <c r="L210" i="39"/>
  <c r="L209" i="39"/>
  <c r="L208" i="39"/>
  <c r="L207" i="39"/>
  <c r="L206" i="39"/>
  <c r="L205" i="39"/>
  <c r="L204" i="39"/>
  <c r="L203" i="39"/>
  <c r="L202" i="39"/>
  <c r="L201" i="39"/>
  <c r="L200" i="39"/>
  <c r="L199" i="39"/>
  <c r="L198" i="39"/>
  <c r="L197" i="39"/>
  <c r="L196" i="39"/>
  <c r="L195" i="39"/>
  <c r="L194" i="39"/>
  <c r="L193" i="39"/>
  <c r="L192" i="39"/>
  <c r="L191" i="39"/>
  <c r="L190" i="39"/>
  <c r="L189" i="39"/>
  <c r="L188" i="39"/>
  <c r="L187" i="39"/>
  <c r="L186" i="39"/>
  <c r="L185" i="39"/>
  <c r="L184" i="39"/>
  <c r="L183" i="39"/>
  <c r="L182" i="39"/>
  <c r="L181" i="39"/>
  <c r="L180" i="39"/>
  <c r="L179" i="39"/>
  <c r="L178" i="39"/>
  <c r="L177" i="39"/>
  <c r="L176" i="39"/>
  <c r="L175" i="39"/>
  <c r="L174" i="39"/>
  <c r="L173" i="39"/>
  <c r="L172" i="39"/>
  <c r="L171" i="39"/>
  <c r="L170" i="39"/>
  <c r="L169" i="39"/>
  <c r="L168" i="39"/>
  <c r="L167" i="39"/>
  <c r="L166" i="39"/>
  <c r="L165" i="39"/>
  <c r="L164" i="39"/>
  <c r="L163" i="39"/>
  <c r="L162" i="39"/>
  <c r="L161" i="39"/>
  <c r="L160" i="39"/>
  <c r="L159" i="39"/>
  <c r="L158" i="39"/>
  <c r="L157" i="39"/>
  <c r="L156" i="39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S27" i="39" s="1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361" i="38"/>
  <c r="L360" i="38"/>
  <c r="L359" i="38"/>
  <c r="L358" i="38"/>
  <c r="L357" i="38"/>
  <c r="L356" i="38"/>
  <c r="L355" i="38"/>
  <c r="L354" i="38"/>
  <c r="L353" i="38"/>
  <c r="L352" i="38"/>
  <c r="L351" i="38"/>
  <c r="L350" i="38"/>
  <c r="L349" i="38"/>
  <c r="L348" i="38"/>
  <c r="L347" i="38"/>
  <c r="L346" i="38"/>
  <c r="L345" i="38"/>
  <c r="L344" i="38"/>
  <c r="L343" i="38"/>
  <c r="L342" i="38"/>
  <c r="L341" i="38"/>
  <c r="L340" i="38"/>
  <c r="L339" i="38"/>
  <c r="L338" i="38"/>
  <c r="L337" i="38"/>
  <c r="L336" i="38"/>
  <c r="L335" i="38"/>
  <c r="L334" i="38"/>
  <c r="L333" i="38"/>
  <c r="L332" i="38"/>
  <c r="L331" i="38"/>
  <c r="L330" i="38"/>
  <c r="L329" i="38"/>
  <c r="L328" i="38"/>
  <c r="L327" i="38"/>
  <c r="L326" i="38"/>
  <c r="L325" i="38"/>
  <c r="L324" i="38"/>
  <c r="L323" i="38"/>
  <c r="L322" i="38"/>
  <c r="L321" i="38"/>
  <c r="L320" i="38"/>
  <c r="L319" i="38"/>
  <c r="L318" i="38"/>
  <c r="L317" i="38"/>
  <c r="L316" i="38"/>
  <c r="L315" i="38"/>
  <c r="L314" i="38"/>
  <c r="L313" i="38"/>
  <c r="L312" i="38"/>
  <c r="L311" i="38"/>
  <c r="L310" i="38"/>
  <c r="L309" i="38"/>
  <c r="L308" i="38"/>
  <c r="L307" i="38"/>
  <c r="L306" i="38"/>
  <c r="L305" i="38"/>
  <c r="L304" i="38"/>
  <c r="L303" i="38"/>
  <c r="L302" i="38"/>
  <c r="L301" i="38"/>
  <c r="L300" i="38"/>
  <c r="L299" i="38"/>
  <c r="L298" i="38"/>
  <c r="L297" i="38"/>
  <c r="L296" i="38"/>
  <c r="L295" i="38"/>
  <c r="L294" i="38"/>
  <c r="L293" i="38"/>
  <c r="L292" i="38"/>
  <c r="L291" i="38"/>
  <c r="L290" i="38"/>
  <c r="L289" i="38"/>
  <c r="L288" i="38"/>
  <c r="L287" i="38"/>
  <c r="L286" i="38"/>
  <c r="L285" i="38"/>
  <c r="L284" i="38"/>
  <c r="L283" i="38"/>
  <c r="L282" i="38"/>
  <c r="L281" i="38"/>
  <c r="L280" i="38"/>
  <c r="L279" i="38"/>
  <c r="L278" i="38"/>
  <c r="L277" i="38"/>
  <c r="L276" i="38"/>
  <c r="L275" i="38"/>
  <c r="L274" i="38"/>
  <c r="L273" i="38"/>
  <c r="L272" i="38"/>
  <c r="L271" i="38"/>
  <c r="L270" i="38"/>
  <c r="L269" i="38"/>
  <c r="L268" i="38"/>
  <c r="L267" i="38"/>
  <c r="L266" i="38"/>
  <c r="L265" i="38"/>
  <c r="L264" i="38"/>
  <c r="L263" i="38"/>
  <c r="L262" i="38"/>
  <c r="L261" i="38"/>
  <c r="L260" i="38"/>
  <c r="L259" i="38"/>
  <c r="L258" i="38"/>
  <c r="L257" i="38"/>
  <c r="L256" i="38"/>
  <c r="L255" i="38"/>
  <c r="L254" i="38"/>
  <c r="L253" i="38"/>
  <c r="L252" i="38"/>
  <c r="L251" i="38"/>
  <c r="L250" i="38"/>
  <c r="L249" i="38"/>
  <c r="L248" i="38"/>
  <c r="L247" i="38"/>
  <c r="L246" i="38"/>
  <c r="L245" i="38"/>
  <c r="L244" i="38"/>
  <c r="L243" i="38"/>
  <c r="L242" i="38"/>
  <c r="L241" i="38"/>
  <c r="L240" i="38"/>
  <c r="L239" i="38"/>
  <c r="L238" i="38"/>
  <c r="L237" i="38"/>
  <c r="L236" i="38"/>
  <c r="L235" i="38"/>
  <c r="L234" i="38"/>
  <c r="L233" i="38"/>
  <c r="L232" i="38"/>
  <c r="L231" i="38"/>
  <c r="L230" i="38"/>
  <c r="L229" i="38"/>
  <c r="L228" i="38"/>
  <c r="L227" i="38"/>
  <c r="L226" i="38"/>
  <c r="L225" i="38"/>
  <c r="L224" i="38"/>
  <c r="L223" i="38"/>
  <c r="L222" i="38"/>
  <c r="L221" i="38"/>
  <c r="L220" i="38"/>
  <c r="L219" i="38"/>
  <c r="L218" i="38"/>
  <c r="L217" i="38"/>
  <c r="L216" i="38"/>
  <c r="L215" i="38"/>
  <c r="L214" i="38"/>
  <c r="L213" i="38"/>
  <c r="L212" i="38"/>
  <c r="L211" i="38"/>
  <c r="L210" i="38"/>
  <c r="L209" i="38"/>
  <c r="L208" i="38"/>
  <c r="L207" i="38"/>
  <c r="L206" i="38"/>
  <c r="L205" i="38"/>
  <c r="L204" i="38"/>
  <c r="L203" i="38"/>
  <c r="L202" i="38"/>
  <c r="L201" i="38"/>
  <c r="L200" i="38"/>
  <c r="L199" i="38"/>
  <c r="L198" i="38"/>
  <c r="L197" i="38"/>
  <c r="L196" i="38"/>
  <c r="L195" i="38"/>
  <c r="L194" i="38"/>
  <c r="L193" i="38"/>
  <c r="L192" i="38"/>
  <c r="L191" i="38"/>
  <c r="L190" i="38"/>
  <c r="L189" i="38"/>
  <c r="L188" i="38"/>
  <c r="L187" i="38"/>
  <c r="L186" i="38"/>
  <c r="L185" i="38"/>
  <c r="L184" i="38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C28" i="38" s="1"/>
  <c r="S22" i="38"/>
  <c r="S27" i="38" s="1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361" i="37"/>
  <c r="L360" i="37"/>
  <c r="L359" i="37"/>
  <c r="L358" i="37"/>
  <c r="L357" i="37"/>
  <c r="L356" i="37"/>
  <c r="L355" i="37"/>
  <c r="L354" i="37"/>
  <c r="L353" i="37"/>
  <c r="L352" i="37"/>
  <c r="L351" i="37"/>
  <c r="L350" i="37"/>
  <c r="L349" i="37"/>
  <c r="L348" i="37"/>
  <c r="L347" i="37"/>
  <c r="L346" i="37"/>
  <c r="L345" i="37"/>
  <c r="L344" i="37"/>
  <c r="L343" i="37"/>
  <c r="L342" i="37"/>
  <c r="L341" i="37"/>
  <c r="L340" i="37"/>
  <c r="L339" i="37"/>
  <c r="L338" i="37"/>
  <c r="L337" i="37"/>
  <c r="L336" i="37"/>
  <c r="L335" i="37"/>
  <c r="L334" i="37"/>
  <c r="L333" i="37"/>
  <c r="L332" i="37"/>
  <c r="L331" i="37"/>
  <c r="L330" i="37"/>
  <c r="L329" i="37"/>
  <c r="L328" i="37"/>
  <c r="L327" i="37"/>
  <c r="L326" i="37"/>
  <c r="L325" i="37"/>
  <c r="L324" i="37"/>
  <c r="L323" i="37"/>
  <c r="L322" i="37"/>
  <c r="L321" i="37"/>
  <c r="L320" i="37"/>
  <c r="L319" i="37"/>
  <c r="L318" i="37"/>
  <c r="L317" i="37"/>
  <c r="L316" i="37"/>
  <c r="L315" i="37"/>
  <c r="L314" i="37"/>
  <c r="L313" i="37"/>
  <c r="L312" i="37"/>
  <c r="L311" i="37"/>
  <c r="L310" i="37"/>
  <c r="L309" i="37"/>
  <c r="L308" i="37"/>
  <c r="L307" i="37"/>
  <c r="L306" i="37"/>
  <c r="L305" i="37"/>
  <c r="L304" i="37"/>
  <c r="L303" i="37"/>
  <c r="L302" i="37"/>
  <c r="L301" i="37"/>
  <c r="L300" i="37"/>
  <c r="L299" i="37"/>
  <c r="L298" i="37"/>
  <c r="L297" i="37"/>
  <c r="L296" i="37"/>
  <c r="L295" i="37"/>
  <c r="L294" i="37"/>
  <c r="L293" i="37"/>
  <c r="L292" i="37"/>
  <c r="L291" i="37"/>
  <c r="L290" i="37"/>
  <c r="L289" i="37"/>
  <c r="L288" i="37"/>
  <c r="L287" i="37"/>
  <c r="L286" i="37"/>
  <c r="L285" i="37"/>
  <c r="L284" i="37"/>
  <c r="L283" i="37"/>
  <c r="L282" i="37"/>
  <c r="L281" i="37"/>
  <c r="L280" i="37"/>
  <c r="L279" i="37"/>
  <c r="L278" i="37"/>
  <c r="L277" i="37"/>
  <c r="L276" i="37"/>
  <c r="L275" i="37"/>
  <c r="L274" i="37"/>
  <c r="L273" i="37"/>
  <c r="L272" i="37"/>
  <c r="L271" i="37"/>
  <c r="L270" i="37"/>
  <c r="L269" i="37"/>
  <c r="L268" i="37"/>
  <c r="L267" i="37"/>
  <c r="L266" i="37"/>
  <c r="L265" i="37"/>
  <c r="L264" i="37"/>
  <c r="L263" i="37"/>
  <c r="L262" i="37"/>
  <c r="L261" i="37"/>
  <c r="L260" i="37"/>
  <c r="L259" i="37"/>
  <c r="L258" i="37"/>
  <c r="L257" i="37"/>
  <c r="L256" i="37"/>
  <c r="L255" i="37"/>
  <c r="L254" i="37"/>
  <c r="L253" i="37"/>
  <c r="L252" i="37"/>
  <c r="L251" i="37"/>
  <c r="L250" i="37"/>
  <c r="L249" i="37"/>
  <c r="L248" i="37"/>
  <c r="L247" i="37"/>
  <c r="L246" i="37"/>
  <c r="L245" i="37"/>
  <c r="L244" i="37"/>
  <c r="L243" i="37"/>
  <c r="L242" i="37"/>
  <c r="L241" i="37"/>
  <c r="L240" i="37"/>
  <c r="L239" i="37"/>
  <c r="L238" i="37"/>
  <c r="L237" i="37"/>
  <c r="L236" i="37"/>
  <c r="L235" i="37"/>
  <c r="L234" i="37"/>
  <c r="L233" i="37"/>
  <c r="L232" i="37"/>
  <c r="L231" i="37"/>
  <c r="L230" i="37"/>
  <c r="L229" i="37"/>
  <c r="L228" i="37"/>
  <c r="L227" i="37"/>
  <c r="L226" i="37"/>
  <c r="L225" i="37"/>
  <c r="L224" i="37"/>
  <c r="L223" i="37"/>
  <c r="L222" i="37"/>
  <c r="L221" i="37"/>
  <c r="L220" i="37"/>
  <c r="L219" i="37"/>
  <c r="L218" i="37"/>
  <c r="L217" i="37"/>
  <c r="L216" i="37"/>
  <c r="L215" i="37"/>
  <c r="L214" i="37"/>
  <c r="L213" i="37"/>
  <c r="L212" i="37"/>
  <c r="L211" i="37"/>
  <c r="L210" i="37"/>
  <c r="L209" i="37"/>
  <c r="L208" i="37"/>
  <c r="L207" i="37"/>
  <c r="L206" i="37"/>
  <c r="L205" i="37"/>
  <c r="L204" i="37"/>
  <c r="L203" i="37"/>
  <c r="L202" i="37"/>
  <c r="L201" i="37"/>
  <c r="L200" i="37"/>
  <c r="L199" i="37"/>
  <c r="L198" i="37"/>
  <c r="L197" i="37"/>
  <c r="L196" i="37"/>
  <c r="L195" i="37"/>
  <c r="L194" i="37"/>
  <c r="L193" i="37"/>
  <c r="L192" i="37"/>
  <c r="L191" i="37"/>
  <c r="L190" i="37"/>
  <c r="L189" i="37"/>
  <c r="L188" i="37"/>
  <c r="L187" i="37"/>
  <c r="L186" i="37"/>
  <c r="L185" i="37"/>
  <c r="L184" i="37"/>
  <c r="L183" i="37"/>
  <c r="L182" i="37"/>
  <c r="L181" i="37"/>
  <c r="L180" i="37"/>
  <c r="L179" i="37"/>
  <c r="L178" i="37"/>
  <c r="L177" i="37"/>
  <c r="L176" i="37"/>
  <c r="L175" i="37"/>
  <c r="L174" i="37"/>
  <c r="L173" i="37"/>
  <c r="L172" i="37"/>
  <c r="L171" i="37"/>
  <c r="L170" i="37"/>
  <c r="L169" i="37"/>
  <c r="L168" i="37"/>
  <c r="L167" i="37"/>
  <c r="L166" i="37"/>
  <c r="L165" i="37"/>
  <c r="L164" i="37"/>
  <c r="L163" i="37"/>
  <c r="L162" i="37"/>
  <c r="L161" i="37"/>
  <c r="L160" i="37"/>
  <c r="L159" i="37"/>
  <c r="L158" i="37"/>
  <c r="L157" i="37"/>
  <c r="L156" i="37"/>
  <c r="L155" i="37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361" i="36"/>
  <c r="L360" i="36"/>
  <c r="L359" i="36"/>
  <c r="L358" i="36"/>
  <c r="L357" i="36"/>
  <c r="L356" i="36"/>
  <c r="L355" i="36"/>
  <c r="L354" i="36"/>
  <c r="L353" i="36"/>
  <c r="L352" i="36"/>
  <c r="L351" i="36"/>
  <c r="L350" i="36"/>
  <c r="L349" i="36"/>
  <c r="L348" i="36"/>
  <c r="L347" i="36"/>
  <c r="L346" i="36"/>
  <c r="L345" i="36"/>
  <c r="L344" i="36"/>
  <c r="L343" i="36"/>
  <c r="L342" i="36"/>
  <c r="L341" i="36"/>
  <c r="L340" i="36"/>
  <c r="L339" i="36"/>
  <c r="L338" i="36"/>
  <c r="L337" i="36"/>
  <c r="L336" i="36"/>
  <c r="L335" i="36"/>
  <c r="L334" i="36"/>
  <c r="L333" i="36"/>
  <c r="L332" i="36"/>
  <c r="L331" i="36"/>
  <c r="L330" i="36"/>
  <c r="L329" i="36"/>
  <c r="L328" i="36"/>
  <c r="L327" i="36"/>
  <c r="L326" i="36"/>
  <c r="L325" i="36"/>
  <c r="L324" i="36"/>
  <c r="L323" i="36"/>
  <c r="L322" i="36"/>
  <c r="L321" i="36"/>
  <c r="L320" i="36"/>
  <c r="L319" i="36"/>
  <c r="L318" i="36"/>
  <c r="L317" i="36"/>
  <c r="L316" i="36"/>
  <c r="L315" i="36"/>
  <c r="L314" i="36"/>
  <c r="L313" i="36"/>
  <c r="L312" i="36"/>
  <c r="L311" i="36"/>
  <c r="L310" i="36"/>
  <c r="L309" i="36"/>
  <c r="L308" i="36"/>
  <c r="L307" i="36"/>
  <c r="L306" i="36"/>
  <c r="L305" i="36"/>
  <c r="L304" i="36"/>
  <c r="L303" i="36"/>
  <c r="L302" i="36"/>
  <c r="L301" i="36"/>
  <c r="L300" i="36"/>
  <c r="L299" i="36"/>
  <c r="L298" i="36"/>
  <c r="L297" i="36"/>
  <c r="L296" i="36"/>
  <c r="L295" i="36"/>
  <c r="L294" i="36"/>
  <c r="L293" i="36"/>
  <c r="L292" i="36"/>
  <c r="L291" i="36"/>
  <c r="L290" i="36"/>
  <c r="L289" i="36"/>
  <c r="L288" i="36"/>
  <c r="L287" i="36"/>
  <c r="L286" i="36"/>
  <c r="L285" i="36"/>
  <c r="L284" i="36"/>
  <c r="L283" i="36"/>
  <c r="L282" i="36"/>
  <c r="L281" i="36"/>
  <c r="L280" i="36"/>
  <c r="L279" i="36"/>
  <c r="L278" i="36"/>
  <c r="L277" i="36"/>
  <c r="L276" i="36"/>
  <c r="L275" i="36"/>
  <c r="L274" i="36"/>
  <c r="L273" i="36"/>
  <c r="L272" i="36"/>
  <c r="L271" i="36"/>
  <c r="L270" i="36"/>
  <c r="L269" i="36"/>
  <c r="L268" i="36"/>
  <c r="L267" i="36"/>
  <c r="L266" i="36"/>
  <c r="L265" i="36"/>
  <c r="L264" i="36"/>
  <c r="L263" i="36"/>
  <c r="L262" i="36"/>
  <c r="L261" i="36"/>
  <c r="L260" i="36"/>
  <c r="L259" i="36"/>
  <c r="L258" i="36"/>
  <c r="L257" i="36"/>
  <c r="L256" i="36"/>
  <c r="L255" i="36"/>
  <c r="L254" i="36"/>
  <c r="L253" i="36"/>
  <c r="L252" i="36"/>
  <c r="L251" i="36"/>
  <c r="L250" i="36"/>
  <c r="L249" i="36"/>
  <c r="L248" i="36"/>
  <c r="L247" i="36"/>
  <c r="L246" i="36"/>
  <c r="L245" i="36"/>
  <c r="L244" i="36"/>
  <c r="L243" i="36"/>
  <c r="L242" i="36"/>
  <c r="L241" i="36"/>
  <c r="L240" i="36"/>
  <c r="L239" i="36"/>
  <c r="L238" i="36"/>
  <c r="L237" i="36"/>
  <c r="L236" i="36"/>
  <c r="L235" i="36"/>
  <c r="L234" i="36"/>
  <c r="L233" i="36"/>
  <c r="L232" i="36"/>
  <c r="L231" i="36"/>
  <c r="L230" i="36"/>
  <c r="L229" i="36"/>
  <c r="L228" i="36"/>
  <c r="L227" i="36"/>
  <c r="L226" i="36"/>
  <c r="L225" i="36"/>
  <c r="L224" i="36"/>
  <c r="L223" i="36"/>
  <c r="L222" i="36"/>
  <c r="L221" i="36"/>
  <c r="L220" i="36"/>
  <c r="L219" i="36"/>
  <c r="L218" i="36"/>
  <c r="L217" i="36"/>
  <c r="L216" i="36"/>
  <c r="L215" i="36"/>
  <c r="L214" i="36"/>
  <c r="L213" i="36"/>
  <c r="L212" i="36"/>
  <c r="L211" i="36"/>
  <c r="L210" i="36"/>
  <c r="L209" i="36"/>
  <c r="L208" i="36"/>
  <c r="L207" i="36"/>
  <c r="L206" i="36"/>
  <c r="L205" i="36"/>
  <c r="L204" i="36"/>
  <c r="L203" i="36"/>
  <c r="L202" i="36"/>
  <c r="L201" i="36"/>
  <c r="L200" i="36"/>
  <c r="L199" i="36"/>
  <c r="L198" i="36"/>
  <c r="L197" i="36"/>
  <c r="L196" i="36"/>
  <c r="L195" i="36"/>
  <c r="L194" i="36"/>
  <c r="L193" i="36"/>
  <c r="L192" i="36"/>
  <c r="L191" i="36"/>
  <c r="L190" i="36"/>
  <c r="L189" i="36"/>
  <c r="L188" i="36"/>
  <c r="L187" i="36"/>
  <c r="L186" i="36"/>
  <c r="L185" i="36"/>
  <c r="L184" i="36"/>
  <c r="L183" i="36"/>
  <c r="L182" i="36"/>
  <c r="L181" i="36"/>
  <c r="L180" i="36"/>
  <c r="L179" i="36"/>
  <c r="L178" i="36"/>
  <c r="L177" i="36"/>
  <c r="L176" i="36"/>
  <c r="L175" i="36"/>
  <c r="L174" i="36"/>
  <c r="L173" i="36"/>
  <c r="L172" i="36"/>
  <c r="L171" i="36"/>
  <c r="L170" i="36"/>
  <c r="L169" i="36"/>
  <c r="L168" i="36"/>
  <c r="L167" i="36"/>
  <c r="L166" i="36"/>
  <c r="L165" i="36"/>
  <c r="L164" i="36"/>
  <c r="L163" i="36"/>
  <c r="L162" i="36"/>
  <c r="L161" i="36"/>
  <c r="L160" i="36"/>
  <c r="L159" i="36"/>
  <c r="L158" i="36"/>
  <c r="L157" i="36"/>
  <c r="L156" i="36"/>
  <c r="L155" i="36"/>
  <c r="L154" i="36"/>
  <c r="L153" i="36"/>
  <c r="L152" i="36"/>
  <c r="L151" i="36"/>
  <c r="L150" i="36"/>
  <c r="L149" i="36"/>
  <c r="L148" i="36"/>
  <c r="L147" i="36"/>
  <c r="L146" i="36"/>
  <c r="L145" i="36"/>
  <c r="L144" i="36"/>
  <c r="L143" i="36"/>
  <c r="L142" i="36"/>
  <c r="L141" i="36"/>
  <c r="L140" i="36"/>
  <c r="L139" i="36"/>
  <c r="L138" i="36"/>
  <c r="L137" i="36"/>
  <c r="L136" i="36"/>
  <c r="L135" i="36"/>
  <c r="L134" i="36"/>
  <c r="L133" i="36"/>
  <c r="L132" i="36"/>
  <c r="L131" i="36"/>
  <c r="L130" i="36"/>
  <c r="L129" i="36"/>
  <c r="L128" i="36"/>
  <c r="L127" i="36"/>
  <c r="L126" i="36"/>
  <c r="L125" i="36"/>
  <c r="L124" i="36"/>
  <c r="L123" i="36"/>
  <c r="L122" i="36"/>
  <c r="L121" i="36"/>
  <c r="L120" i="36"/>
  <c r="L119" i="36"/>
  <c r="L118" i="36"/>
  <c r="L117" i="36"/>
  <c r="L116" i="36"/>
  <c r="L115" i="36"/>
  <c r="L114" i="36"/>
  <c r="L113" i="36"/>
  <c r="L112" i="36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14" i="35"/>
  <c r="L13" i="35"/>
  <c r="L12" i="35"/>
  <c r="L361" i="35"/>
  <c r="L360" i="35"/>
  <c r="L359" i="35"/>
  <c r="L358" i="35"/>
  <c r="L357" i="35"/>
  <c r="L356" i="35"/>
  <c r="L355" i="35"/>
  <c r="L354" i="35"/>
  <c r="L353" i="35"/>
  <c r="L352" i="35"/>
  <c r="L351" i="35"/>
  <c r="L350" i="35"/>
  <c r="L349" i="35"/>
  <c r="L348" i="35"/>
  <c r="L347" i="35"/>
  <c r="L346" i="35"/>
  <c r="L345" i="35"/>
  <c r="L344" i="35"/>
  <c r="L343" i="35"/>
  <c r="L342" i="35"/>
  <c r="L341" i="35"/>
  <c r="L340" i="35"/>
  <c r="L339" i="35"/>
  <c r="L338" i="35"/>
  <c r="L337" i="35"/>
  <c r="L336" i="35"/>
  <c r="L335" i="35"/>
  <c r="L334" i="35"/>
  <c r="L333" i="35"/>
  <c r="L332" i="35"/>
  <c r="L331" i="35"/>
  <c r="L330" i="35"/>
  <c r="L329" i="35"/>
  <c r="L328" i="35"/>
  <c r="L327" i="35"/>
  <c r="L326" i="35"/>
  <c r="L325" i="35"/>
  <c r="L324" i="35"/>
  <c r="L323" i="35"/>
  <c r="L322" i="35"/>
  <c r="L321" i="35"/>
  <c r="L320" i="35"/>
  <c r="L319" i="35"/>
  <c r="L318" i="35"/>
  <c r="L317" i="35"/>
  <c r="L316" i="35"/>
  <c r="L315" i="35"/>
  <c r="L314" i="35"/>
  <c r="L313" i="35"/>
  <c r="L312" i="35"/>
  <c r="L311" i="35"/>
  <c r="L310" i="35"/>
  <c r="L309" i="35"/>
  <c r="L308" i="35"/>
  <c r="L307" i="35"/>
  <c r="L306" i="35"/>
  <c r="L305" i="35"/>
  <c r="L304" i="35"/>
  <c r="L303" i="35"/>
  <c r="L302" i="35"/>
  <c r="L301" i="35"/>
  <c r="L300" i="35"/>
  <c r="L299" i="35"/>
  <c r="L298" i="35"/>
  <c r="L297" i="35"/>
  <c r="L296" i="35"/>
  <c r="L295" i="35"/>
  <c r="L294" i="35"/>
  <c r="L293" i="35"/>
  <c r="L292" i="35"/>
  <c r="L291" i="35"/>
  <c r="L290" i="35"/>
  <c r="L289" i="35"/>
  <c r="L288" i="35"/>
  <c r="L287" i="35"/>
  <c r="L286" i="35"/>
  <c r="L285" i="35"/>
  <c r="L284" i="35"/>
  <c r="L283" i="35"/>
  <c r="L282" i="35"/>
  <c r="L281" i="35"/>
  <c r="L280" i="35"/>
  <c r="L279" i="35"/>
  <c r="L278" i="35"/>
  <c r="L277" i="35"/>
  <c r="L276" i="35"/>
  <c r="L275" i="35"/>
  <c r="L274" i="35"/>
  <c r="L273" i="35"/>
  <c r="L272" i="35"/>
  <c r="L271" i="35"/>
  <c r="L270" i="35"/>
  <c r="L269" i="35"/>
  <c r="L268" i="35"/>
  <c r="L267" i="35"/>
  <c r="L266" i="35"/>
  <c r="L265" i="35"/>
  <c r="L264" i="35"/>
  <c r="L263" i="35"/>
  <c r="L262" i="35"/>
  <c r="L261" i="35"/>
  <c r="L260" i="35"/>
  <c r="L259" i="35"/>
  <c r="L258" i="35"/>
  <c r="L257" i="35"/>
  <c r="L256" i="35"/>
  <c r="L255" i="35"/>
  <c r="L254" i="35"/>
  <c r="L253" i="35"/>
  <c r="L252" i="35"/>
  <c r="L251" i="35"/>
  <c r="L250" i="35"/>
  <c r="L249" i="35"/>
  <c r="L248" i="35"/>
  <c r="L247" i="35"/>
  <c r="L246" i="35"/>
  <c r="L245" i="35"/>
  <c r="L244" i="35"/>
  <c r="L243" i="35"/>
  <c r="L242" i="35"/>
  <c r="L241" i="35"/>
  <c r="L240" i="35"/>
  <c r="L239" i="35"/>
  <c r="L238" i="35"/>
  <c r="L237" i="35"/>
  <c r="L236" i="35"/>
  <c r="L235" i="35"/>
  <c r="L234" i="35"/>
  <c r="L233" i="35"/>
  <c r="L232" i="35"/>
  <c r="L231" i="35"/>
  <c r="L230" i="35"/>
  <c r="L229" i="35"/>
  <c r="L228" i="35"/>
  <c r="L227" i="35"/>
  <c r="L226" i="35"/>
  <c r="L225" i="35"/>
  <c r="L224" i="35"/>
  <c r="L223" i="35"/>
  <c r="L222" i="35"/>
  <c r="L221" i="35"/>
  <c r="L220" i="35"/>
  <c r="L219" i="35"/>
  <c r="L218" i="35"/>
  <c r="L217" i="35"/>
  <c r="L216" i="35"/>
  <c r="L215" i="35"/>
  <c r="L214" i="35"/>
  <c r="L213" i="35"/>
  <c r="L212" i="35"/>
  <c r="L211" i="35"/>
  <c r="L210" i="35"/>
  <c r="L209" i="35"/>
  <c r="L208" i="35"/>
  <c r="L207" i="35"/>
  <c r="L206" i="35"/>
  <c r="L205" i="35"/>
  <c r="L204" i="35"/>
  <c r="L203" i="35"/>
  <c r="L202" i="35"/>
  <c r="L201" i="35"/>
  <c r="L200" i="35"/>
  <c r="L199" i="35"/>
  <c r="L198" i="35"/>
  <c r="L197" i="35"/>
  <c r="L196" i="35"/>
  <c r="L195" i="35"/>
  <c r="L194" i="35"/>
  <c r="L193" i="35"/>
  <c r="L192" i="35"/>
  <c r="L191" i="35"/>
  <c r="L190" i="35"/>
  <c r="L189" i="35"/>
  <c r="L188" i="35"/>
  <c r="L187" i="35"/>
  <c r="L186" i="35"/>
  <c r="L185" i="35"/>
  <c r="L184" i="35"/>
  <c r="L183" i="35"/>
  <c r="L182" i="35"/>
  <c r="L181" i="35"/>
  <c r="L180" i="35"/>
  <c r="L179" i="35"/>
  <c r="L178" i="35"/>
  <c r="L177" i="35"/>
  <c r="L176" i="35"/>
  <c r="L175" i="35"/>
  <c r="L174" i="35"/>
  <c r="L173" i="35"/>
  <c r="L172" i="35"/>
  <c r="L171" i="35"/>
  <c r="L170" i="35"/>
  <c r="L169" i="35"/>
  <c r="L168" i="35"/>
  <c r="L167" i="35"/>
  <c r="L166" i="35"/>
  <c r="L165" i="35"/>
  <c r="L164" i="35"/>
  <c r="L163" i="35"/>
  <c r="L162" i="35"/>
  <c r="L161" i="35"/>
  <c r="L160" i="35"/>
  <c r="L159" i="35"/>
  <c r="L158" i="35"/>
  <c r="L157" i="35"/>
  <c r="L156" i="35"/>
  <c r="L155" i="35"/>
  <c r="L154" i="35"/>
  <c r="L153" i="35"/>
  <c r="L152" i="35"/>
  <c r="L151" i="35"/>
  <c r="L150" i="35"/>
  <c r="L149" i="35"/>
  <c r="L148" i="35"/>
  <c r="L147" i="35"/>
  <c r="L146" i="35"/>
  <c r="L145" i="35"/>
  <c r="L144" i="35"/>
  <c r="L143" i="35"/>
  <c r="L142" i="35"/>
  <c r="L141" i="35"/>
  <c r="L140" i="35"/>
  <c r="L139" i="35"/>
  <c r="L138" i="35"/>
  <c r="L137" i="35"/>
  <c r="L136" i="35"/>
  <c r="L135" i="35"/>
  <c r="L134" i="35"/>
  <c r="L133" i="35"/>
  <c r="L132" i="35"/>
  <c r="L131" i="35"/>
  <c r="L130" i="35"/>
  <c r="L129" i="35"/>
  <c r="L128" i="35"/>
  <c r="L127" i="35"/>
  <c r="L126" i="35"/>
  <c r="L125" i="35"/>
  <c r="L124" i="35"/>
  <c r="L123" i="35"/>
  <c r="L122" i="35"/>
  <c r="L121" i="35"/>
  <c r="L120" i="35"/>
  <c r="L119" i="35"/>
  <c r="L118" i="35"/>
  <c r="L117" i="35"/>
  <c r="L116" i="35"/>
  <c r="L115" i="35"/>
  <c r="L114" i="35"/>
  <c r="L113" i="35"/>
  <c r="L112" i="35"/>
  <c r="L111" i="35"/>
  <c r="L110" i="35"/>
  <c r="L109" i="35"/>
  <c r="L108" i="35"/>
  <c r="L107" i="35"/>
  <c r="L106" i="35"/>
  <c r="L105" i="35"/>
  <c r="L104" i="35"/>
  <c r="L103" i="35"/>
  <c r="L102" i="35"/>
  <c r="L101" i="35"/>
  <c r="L100" i="35"/>
  <c r="L99" i="35"/>
  <c r="L98" i="35"/>
  <c r="L97" i="35"/>
  <c r="L96" i="35"/>
  <c r="L95" i="35"/>
  <c r="L94" i="35"/>
  <c r="L93" i="35"/>
  <c r="L92" i="35"/>
  <c r="L91" i="35"/>
  <c r="L90" i="35"/>
  <c r="L89" i="35"/>
  <c r="L88" i="35"/>
  <c r="L87" i="35"/>
  <c r="L86" i="35"/>
  <c r="L85" i="35"/>
  <c r="L84" i="35"/>
  <c r="L83" i="35"/>
  <c r="L82" i="35"/>
  <c r="L81" i="35"/>
  <c r="L80" i="35"/>
  <c r="L79" i="35"/>
  <c r="L78" i="35"/>
  <c r="L77" i="35"/>
  <c r="L76" i="35"/>
  <c r="L75" i="35"/>
  <c r="L74" i="35"/>
  <c r="L73" i="35"/>
  <c r="L72" i="35"/>
  <c r="L71" i="35"/>
  <c r="L70" i="35"/>
  <c r="L69" i="35"/>
  <c r="L68" i="35"/>
  <c r="L67" i="35"/>
  <c r="L66" i="35"/>
  <c r="L65" i="35"/>
  <c r="L64" i="35"/>
  <c r="L63" i="35"/>
  <c r="L62" i="35"/>
  <c r="L61" i="35"/>
  <c r="L60" i="35"/>
  <c r="L59" i="35"/>
  <c r="L58" i="35"/>
  <c r="L57" i="35"/>
  <c r="L56" i="35"/>
  <c r="L55" i="35"/>
  <c r="L54" i="35"/>
  <c r="L53" i="35"/>
  <c r="L52" i="35"/>
  <c r="L51" i="35"/>
  <c r="L50" i="35"/>
  <c r="L49" i="35"/>
  <c r="L48" i="35"/>
  <c r="L47" i="35"/>
  <c r="L46" i="35"/>
  <c r="L45" i="35"/>
  <c r="L44" i="35"/>
  <c r="L43" i="35"/>
  <c r="L42" i="35"/>
  <c r="L41" i="35"/>
  <c r="L40" i="35"/>
  <c r="L39" i="35"/>
  <c r="L38" i="35"/>
  <c r="L37" i="35"/>
  <c r="L36" i="35"/>
  <c r="L35" i="35"/>
  <c r="L34" i="35"/>
  <c r="L33" i="35"/>
  <c r="L32" i="35"/>
  <c r="L31" i="35"/>
  <c r="P30" i="35"/>
  <c r="L30" i="35"/>
  <c r="S29" i="35"/>
  <c r="L29" i="35"/>
  <c r="L28" i="35"/>
  <c r="P27" i="35"/>
  <c r="L27" i="35"/>
  <c r="C27" i="35"/>
  <c r="S26" i="35"/>
  <c r="P26" i="35"/>
  <c r="L26" i="35"/>
  <c r="F26" i="35"/>
  <c r="C26" i="35"/>
  <c r="S25" i="35"/>
  <c r="P25" i="35"/>
  <c r="L25" i="35"/>
  <c r="F25" i="35"/>
  <c r="C25" i="35"/>
  <c r="S24" i="35"/>
  <c r="P24" i="35"/>
  <c r="L24" i="35"/>
  <c r="F24" i="35"/>
  <c r="C24" i="35"/>
  <c r="S23" i="35"/>
  <c r="P23" i="35"/>
  <c r="L23" i="35"/>
  <c r="F23" i="35"/>
  <c r="C23" i="35"/>
  <c r="S22" i="35"/>
  <c r="P22" i="35"/>
  <c r="L22" i="35"/>
  <c r="F22" i="35"/>
  <c r="C22" i="35"/>
  <c r="K20" i="35"/>
  <c r="J20" i="35"/>
  <c r="L18" i="35"/>
  <c r="L17" i="35"/>
  <c r="L16" i="35"/>
  <c r="L15" i="35"/>
  <c r="L11" i="35"/>
  <c r="L10" i="35"/>
  <c r="L9" i="35"/>
  <c r="L8" i="35"/>
  <c r="L7" i="35"/>
  <c r="L6" i="35"/>
  <c r="L5" i="35"/>
  <c r="L4" i="35"/>
  <c r="L3" i="35"/>
  <c r="K1" i="35"/>
  <c r="J1" i="35"/>
  <c r="L354" i="34"/>
  <c r="L353" i="34"/>
  <c r="L352" i="34"/>
  <c r="L351" i="34"/>
  <c r="L350" i="34"/>
  <c r="L349" i="34"/>
  <c r="L348" i="34"/>
  <c r="L347" i="34"/>
  <c r="L346" i="34"/>
  <c r="L345" i="34"/>
  <c r="L344" i="34"/>
  <c r="L343" i="34"/>
  <c r="L342" i="34"/>
  <c r="L341" i="34"/>
  <c r="L340" i="34"/>
  <c r="L339" i="34"/>
  <c r="L338" i="34"/>
  <c r="L337" i="34"/>
  <c r="L336" i="34"/>
  <c r="L335" i="34"/>
  <c r="L334" i="34"/>
  <c r="L333" i="34"/>
  <c r="L332" i="34"/>
  <c r="L331" i="34"/>
  <c r="L330" i="34"/>
  <c r="L329" i="34"/>
  <c r="L328" i="34"/>
  <c r="L327" i="34"/>
  <c r="L326" i="34"/>
  <c r="L325" i="34"/>
  <c r="L324" i="34"/>
  <c r="L323" i="34"/>
  <c r="L322" i="34"/>
  <c r="L321" i="34"/>
  <c r="L320" i="34"/>
  <c r="L319" i="34"/>
  <c r="L318" i="34"/>
  <c r="L317" i="34"/>
  <c r="L316" i="34"/>
  <c r="L315" i="34"/>
  <c r="L314" i="34"/>
  <c r="L313" i="34"/>
  <c r="L312" i="34"/>
  <c r="L311" i="34"/>
  <c r="L310" i="34"/>
  <c r="L309" i="34"/>
  <c r="L308" i="34"/>
  <c r="L307" i="34"/>
  <c r="L306" i="34"/>
  <c r="L305" i="34"/>
  <c r="L304" i="34"/>
  <c r="L303" i="34"/>
  <c r="L302" i="34"/>
  <c r="L301" i="34"/>
  <c r="L300" i="34"/>
  <c r="L299" i="34"/>
  <c r="L298" i="34"/>
  <c r="L297" i="34"/>
  <c r="L296" i="34"/>
  <c r="L295" i="34"/>
  <c r="L294" i="34"/>
  <c r="L293" i="34"/>
  <c r="L292" i="34"/>
  <c r="L291" i="34"/>
  <c r="L290" i="34"/>
  <c r="L289" i="34"/>
  <c r="L288" i="34"/>
  <c r="L287" i="34"/>
  <c r="L286" i="34"/>
  <c r="L285" i="34"/>
  <c r="L284" i="34"/>
  <c r="L283" i="34"/>
  <c r="L282" i="34"/>
  <c r="L281" i="34"/>
  <c r="L280" i="34"/>
  <c r="L279" i="34"/>
  <c r="L278" i="34"/>
  <c r="L277" i="34"/>
  <c r="L276" i="34"/>
  <c r="L275" i="34"/>
  <c r="L274" i="34"/>
  <c r="L273" i="34"/>
  <c r="L272" i="34"/>
  <c r="L271" i="34"/>
  <c r="L270" i="34"/>
  <c r="L269" i="34"/>
  <c r="L268" i="34"/>
  <c r="L267" i="34"/>
  <c r="L266" i="34"/>
  <c r="L265" i="34"/>
  <c r="L264" i="34"/>
  <c r="L263" i="34"/>
  <c r="L262" i="34"/>
  <c r="L261" i="34"/>
  <c r="L260" i="34"/>
  <c r="L259" i="34"/>
  <c r="L258" i="34"/>
  <c r="L257" i="34"/>
  <c r="L256" i="34"/>
  <c r="L255" i="34"/>
  <c r="L254" i="34"/>
  <c r="L253" i="34"/>
  <c r="L252" i="34"/>
  <c r="L251" i="34"/>
  <c r="L250" i="34"/>
  <c r="L249" i="34"/>
  <c r="L248" i="34"/>
  <c r="L247" i="34"/>
  <c r="L246" i="34"/>
  <c r="L245" i="34"/>
  <c r="L244" i="34"/>
  <c r="L243" i="34"/>
  <c r="L242" i="34"/>
  <c r="L241" i="34"/>
  <c r="L240" i="34"/>
  <c r="L239" i="34"/>
  <c r="L238" i="34"/>
  <c r="L237" i="34"/>
  <c r="L236" i="34"/>
  <c r="L235" i="34"/>
  <c r="L234" i="34"/>
  <c r="L233" i="34"/>
  <c r="L232" i="34"/>
  <c r="L231" i="34"/>
  <c r="L230" i="34"/>
  <c r="L229" i="34"/>
  <c r="L228" i="34"/>
  <c r="L227" i="34"/>
  <c r="L226" i="34"/>
  <c r="L225" i="34"/>
  <c r="L224" i="34"/>
  <c r="L223" i="34"/>
  <c r="L222" i="34"/>
  <c r="L221" i="34"/>
  <c r="L220" i="34"/>
  <c r="L219" i="34"/>
  <c r="L218" i="34"/>
  <c r="L217" i="34"/>
  <c r="L216" i="34"/>
  <c r="L215" i="34"/>
  <c r="L214" i="34"/>
  <c r="L213" i="34"/>
  <c r="L212" i="34"/>
  <c r="L211" i="34"/>
  <c r="L210" i="34"/>
  <c r="L209" i="34"/>
  <c r="L208" i="34"/>
  <c r="L207" i="34"/>
  <c r="L206" i="34"/>
  <c r="L205" i="34"/>
  <c r="L204" i="34"/>
  <c r="L203" i="34"/>
  <c r="L202" i="34"/>
  <c r="L201" i="34"/>
  <c r="L200" i="34"/>
  <c r="L199" i="34"/>
  <c r="L198" i="34"/>
  <c r="L197" i="34"/>
  <c r="L196" i="34"/>
  <c r="L195" i="34"/>
  <c r="L194" i="34"/>
  <c r="L193" i="34"/>
  <c r="L192" i="34"/>
  <c r="L191" i="34"/>
  <c r="L190" i="34"/>
  <c r="L189" i="34"/>
  <c r="L188" i="34"/>
  <c r="L187" i="34"/>
  <c r="L186" i="34"/>
  <c r="L185" i="34"/>
  <c r="L184" i="34"/>
  <c r="L183" i="34"/>
  <c r="L182" i="34"/>
  <c r="L181" i="34"/>
  <c r="L180" i="34"/>
  <c r="L179" i="34"/>
  <c r="L178" i="34"/>
  <c r="L177" i="34"/>
  <c r="L176" i="34"/>
  <c r="L175" i="34"/>
  <c r="L174" i="34"/>
  <c r="L173" i="34"/>
  <c r="L172" i="34"/>
  <c r="L171" i="34"/>
  <c r="L170" i="34"/>
  <c r="L169" i="34"/>
  <c r="L168" i="34"/>
  <c r="L167" i="34"/>
  <c r="L166" i="34"/>
  <c r="L165" i="34"/>
  <c r="L164" i="34"/>
  <c r="L163" i="34"/>
  <c r="L162" i="34"/>
  <c r="L161" i="34"/>
  <c r="L160" i="34"/>
  <c r="L159" i="34"/>
  <c r="L158" i="34"/>
  <c r="L157" i="34"/>
  <c r="L156" i="34"/>
  <c r="L155" i="34"/>
  <c r="L154" i="34"/>
  <c r="L153" i="34"/>
  <c r="L152" i="34"/>
  <c r="L151" i="34"/>
  <c r="L150" i="34"/>
  <c r="L149" i="34"/>
  <c r="L148" i="34"/>
  <c r="L147" i="34"/>
  <c r="L146" i="34"/>
  <c r="L145" i="34"/>
  <c r="L144" i="34"/>
  <c r="L143" i="34"/>
  <c r="L142" i="34"/>
  <c r="L141" i="34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L30" i="34"/>
  <c r="L29" i="34"/>
  <c r="L28" i="34"/>
  <c r="L27" i="34"/>
  <c r="L26" i="34"/>
  <c r="L25" i="34"/>
  <c r="L24" i="34"/>
  <c r="P23" i="34"/>
  <c r="L23" i="34"/>
  <c r="S22" i="34"/>
  <c r="L22" i="34"/>
  <c r="L21" i="34"/>
  <c r="P20" i="34"/>
  <c r="L20" i="34"/>
  <c r="C20" i="34"/>
  <c r="S19" i="34"/>
  <c r="P19" i="34"/>
  <c r="L19" i="34"/>
  <c r="F19" i="34"/>
  <c r="C19" i="34"/>
  <c r="S18" i="34"/>
  <c r="P18" i="34"/>
  <c r="L18" i="34"/>
  <c r="F18" i="34"/>
  <c r="C18" i="34"/>
  <c r="S17" i="34"/>
  <c r="P17" i="34"/>
  <c r="L17" i="34"/>
  <c r="F17" i="34"/>
  <c r="C17" i="34"/>
  <c r="S16" i="34"/>
  <c r="P16" i="34"/>
  <c r="L16" i="34"/>
  <c r="F16" i="34"/>
  <c r="C16" i="34"/>
  <c r="S15" i="34"/>
  <c r="P15" i="34"/>
  <c r="L15" i="34"/>
  <c r="F15" i="34"/>
  <c r="C15" i="34"/>
  <c r="K13" i="34"/>
  <c r="J13" i="34"/>
  <c r="L11" i="34"/>
  <c r="L10" i="34"/>
  <c r="L9" i="34"/>
  <c r="L8" i="34"/>
  <c r="L7" i="34"/>
  <c r="L6" i="34"/>
  <c r="L5" i="34"/>
  <c r="L4" i="34"/>
  <c r="L3" i="34"/>
  <c r="K1" i="34"/>
  <c r="J1" i="34"/>
  <c r="L9" i="33"/>
  <c r="L8" i="33"/>
  <c r="L7" i="33"/>
  <c r="L6" i="33"/>
  <c r="L358" i="33"/>
  <c r="L357" i="33"/>
  <c r="L356" i="33"/>
  <c r="L355" i="33"/>
  <c r="L354" i="33"/>
  <c r="L353" i="33"/>
  <c r="L352" i="33"/>
  <c r="L351" i="33"/>
  <c r="L350" i="33"/>
  <c r="L349" i="33"/>
  <c r="L348" i="33"/>
  <c r="L347" i="33"/>
  <c r="L346" i="33"/>
  <c r="L345" i="33"/>
  <c r="L344" i="33"/>
  <c r="L343" i="33"/>
  <c r="L342" i="33"/>
  <c r="L341" i="33"/>
  <c r="L340" i="33"/>
  <c r="L339" i="33"/>
  <c r="L338" i="33"/>
  <c r="L337" i="33"/>
  <c r="L336" i="33"/>
  <c r="L335" i="33"/>
  <c r="L334" i="33"/>
  <c r="L333" i="33"/>
  <c r="L332" i="33"/>
  <c r="L331" i="33"/>
  <c r="L330" i="33"/>
  <c r="L329" i="33"/>
  <c r="L328" i="33"/>
  <c r="L327" i="33"/>
  <c r="L326" i="33"/>
  <c r="L325" i="33"/>
  <c r="L324" i="33"/>
  <c r="L323" i="33"/>
  <c r="L322" i="33"/>
  <c r="L321" i="33"/>
  <c r="L320" i="33"/>
  <c r="L319" i="33"/>
  <c r="L318" i="33"/>
  <c r="L317" i="33"/>
  <c r="L316" i="33"/>
  <c r="L315" i="33"/>
  <c r="L314" i="33"/>
  <c r="L313" i="33"/>
  <c r="L312" i="33"/>
  <c r="L311" i="33"/>
  <c r="L310" i="33"/>
  <c r="L309" i="33"/>
  <c r="L308" i="33"/>
  <c r="L307" i="33"/>
  <c r="L306" i="33"/>
  <c r="L305" i="33"/>
  <c r="L304" i="33"/>
  <c r="L303" i="33"/>
  <c r="L302" i="33"/>
  <c r="L301" i="33"/>
  <c r="L300" i="33"/>
  <c r="L299" i="33"/>
  <c r="L298" i="33"/>
  <c r="L297" i="33"/>
  <c r="L296" i="33"/>
  <c r="L295" i="33"/>
  <c r="L294" i="33"/>
  <c r="L293" i="33"/>
  <c r="L292" i="33"/>
  <c r="L291" i="33"/>
  <c r="L290" i="33"/>
  <c r="L289" i="33"/>
  <c r="L288" i="33"/>
  <c r="L287" i="33"/>
  <c r="L286" i="33"/>
  <c r="L285" i="33"/>
  <c r="L284" i="33"/>
  <c r="L283" i="33"/>
  <c r="L282" i="33"/>
  <c r="L281" i="33"/>
  <c r="L280" i="33"/>
  <c r="L279" i="33"/>
  <c r="L278" i="33"/>
  <c r="L277" i="33"/>
  <c r="L276" i="33"/>
  <c r="L275" i="33"/>
  <c r="L274" i="33"/>
  <c r="L273" i="33"/>
  <c r="L272" i="33"/>
  <c r="L271" i="33"/>
  <c r="L270" i="33"/>
  <c r="L269" i="33"/>
  <c r="L268" i="33"/>
  <c r="L267" i="33"/>
  <c r="L266" i="33"/>
  <c r="L265" i="33"/>
  <c r="L264" i="33"/>
  <c r="L263" i="33"/>
  <c r="L262" i="33"/>
  <c r="L261" i="33"/>
  <c r="L260" i="33"/>
  <c r="L259" i="33"/>
  <c r="L258" i="33"/>
  <c r="L257" i="33"/>
  <c r="L256" i="33"/>
  <c r="L255" i="33"/>
  <c r="L254" i="33"/>
  <c r="L253" i="33"/>
  <c r="L252" i="33"/>
  <c r="L251" i="33"/>
  <c r="L250" i="33"/>
  <c r="L249" i="33"/>
  <c r="L248" i="33"/>
  <c r="L247" i="33"/>
  <c r="L246" i="33"/>
  <c r="L245" i="33"/>
  <c r="L244" i="33"/>
  <c r="L243" i="33"/>
  <c r="L242" i="33"/>
  <c r="L241" i="33"/>
  <c r="L240" i="33"/>
  <c r="L239" i="33"/>
  <c r="L238" i="33"/>
  <c r="L237" i="33"/>
  <c r="L236" i="33"/>
  <c r="L235" i="33"/>
  <c r="L234" i="33"/>
  <c r="L233" i="33"/>
  <c r="L232" i="33"/>
  <c r="L231" i="33"/>
  <c r="L230" i="33"/>
  <c r="L229" i="33"/>
  <c r="L228" i="33"/>
  <c r="L227" i="33"/>
  <c r="L226" i="33"/>
  <c r="L225" i="33"/>
  <c r="L224" i="33"/>
  <c r="L223" i="33"/>
  <c r="L222" i="33"/>
  <c r="L221" i="33"/>
  <c r="L220" i="33"/>
  <c r="L219" i="33"/>
  <c r="L218" i="33"/>
  <c r="L217" i="33"/>
  <c r="L216" i="33"/>
  <c r="L215" i="33"/>
  <c r="L214" i="33"/>
  <c r="L213" i="33"/>
  <c r="L212" i="33"/>
  <c r="L211" i="33"/>
  <c r="L210" i="33"/>
  <c r="L209" i="33"/>
  <c r="L208" i="33"/>
  <c r="L207" i="33"/>
  <c r="L206" i="33"/>
  <c r="L205" i="33"/>
  <c r="L204" i="33"/>
  <c r="L203" i="33"/>
  <c r="L202" i="33"/>
  <c r="L201" i="33"/>
  <c r="L200" i="33"/>
  <c r="L199" i="33"/>
  <c r="L198" i="33"/>
  <c r="L197" i="33"/>
  <c r="L196" i="33"/>
  <c r="L195" i="33"/>
  <c r="L194" i="33"/>
  <c r="L193" i="33"/>
  <c r="L192" i="33"/>
  <c r="L191" i="33"/>
  <c r="L190" i="33"/>
  <c r="L189" i="33"/>
  <c r="L188" i="33"/>
  <c r="L187" i="33"/>
  <c r="L186" i="33"/>
  <c r="L185" i="33"/>
  <c r="L184" i="33"/>
  <c r="L183" i="33"/>
  <c r="L182" i="33"/>
  <c r="L181" i="33"/>
  <c r="L180" i="33"/>
  <c r="L179" i="33"/>
  <c r="L178" i="33"/>
  <c r="L177" i="33"/>
  <c r="L176" i="33"/>
  <c r="L175" i="33"/>
  <c r="L174" i="33"/>
  <c r="L173" i="33"/>
  <c r="L172" i="33"/>
  <c r="L171" i="33"/>
  <c r="L170" i="33"/>
  <c r="L169" i="33"/>
  <c r="L168" i="33"/>
  <c r="L167" i="33"/>
  <c r="L166" i="33"/>
  <c r="L165" i="33"/>
  <c r="L164" i="33"/>
  <c r="L163" i="33"/>
  <c r="L162" i="33"/>
  <c r="L161" i="33"/>
  <c r="L160" i="33"/>
  <c r="L159" i="33"/>
  <c r="L158" i="33"/>
  <c r="L157" i="33"/>
  <c r="L156" i="33"/>
  <c r="L155" i="33"/>
  <c r="L154" i="33"/>
  <c r="L153" i="33"/>
  <c r="L152" i="33"/>
  <c r="L151" i="33"/>
  <c r="L150" i="33"/>
  <c r="L149" i="33"/>
  <c r="L148" i="33"/>
  <c r="L147" i="33"/>
  <c r="L146" i="33"/>
  <c r="L145" i="33"/>
  <c r="L144" i="33"/>
  <c r="L143" i="33"/>
  <c r="L142" i="33"/>
  <c r="L141" i="33"/>
  <c r="L140" i="33"/>
  <c r="L139" i="33"/>
  <c r="L138" i="33"/>
  <c r="L137" i="33"/>
  <c r="L136" i="33"/>
  <c r="L135" i="33"/>
  <c r="L134" i="33"/>
  <c r="L133" i="33"/>
  <c r="L132" i="33"/>
  <c r="L131" i="33"/>
  <c r="L130" i="33"/>
  <c r="L129" i="33"/>
  <c r="L128" i="33"/>
  <c r="L127" i="33"/>
  <c r="L126" i="33"/>
  <c r="L125" i="33"/>
  <c r="L124" i="33"/>
  <c r="L123" i="33"/>
  <c r="L122" i="33"/>
  <c r="L121" i="33"/>
  <c r="L120" i="33"/>
  <c r="L119" i="33"/>
  <c r="L118" i="33"/>
  <c r="L117" i="33"/>
  <c r="L116" i="33"/>
  <c r="L115" i="33"/>
  <c r="L114" i="33"/>
  <c r="L113" i="33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3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L30" i="33"/>
  <c r="L29" i="33"/>
  <c r="L28" i="33"/>
  <c r="P27" i="33"/>
  <c r="L27" i="33"/>
  <c r="S26" i="33"/>
  <c r="L26" i="33"/>
  <c r="L25" i="33"/>
  <c r="P24" i="33"/>
  <c r="L24" i="33"/>
  <c r="C24" i="33"/>
  <c r="S23" i="33"/>
  <c r="P23" i="33"/>
  <c r="L23" i="33"/>
  <c r="F23" i="33"/>
  <c r="C23" i="33"/>
  <c r="S22" i="33"/>
  <c r="P22" i="33"/>
  <c r="L22" i="33"/>
  <c r="F22" i="33"/>
  <c r="C22" i="33"/>
  <c r="S21" i="33"/>
  <c r="P21" i="33"/>
  <c r="L21" i="33"/>
  <c r="F21" i="33"/>
  <c r="C21" i="33"/>
  <c r="S20" i="33"/>
  <c r="P20" i="33"/>
  <c r="L20" i="33"/>
  <c r="F20" i="33"/>
  <c r="C20" i="33"/>
  <c r="S19" i="33"/>
  <c r="P19" i="33"/>
  <c r="L19" i="33"/>
  <c r="F19" i="33"/>
  <c r="C19" i="33"/>
  <c r="K17" i="33"/>
  <c r="J17" i="33"/>
  <c r="L15" i="33"/>
  <c r="L14" i="33"/>
  <c r="L13" i="33"/>
  <c r="L12" i="33"/>
  <c r="L11" i="33"/>
  <c r="L10" i="33"/>
  <c r="L5" i="33"/>
  <c r="L4" i="33"/>
  <c r="L3" i="33"/>
  <c r="K1" i="33"/>
  <c r="J1" i="33"/>
  <c r="L101" i="32"/>
  <c r="L354" i="32"/>
  <c r="L353" i="32"/>
  <c r="L352" i="32"/>
  <c r="L351" i="32"/>
  <c r="L350" i="32"/>
  <c r="L349" i="32"/>
  <c r="L348" i="32"/>
  <c r="L347" i="32"/>
  <c r="L346" i="32"/>
  <c r="L345" i="32"/>
  <c r="L344" i="32"/>
  <c r="L343" i="32"/>
  <c r="L342" i="32"/>
  <c r="L341" i="32"/>
  <c r="L340" i="32"/>
  <c r="L339" i="32"/>
  <c r="L338" i="32"/>
  <c r="L337" i="32"/>
  <c r="L336" i="32"/>
  <c r="L335" i="32"/>
  <c r="L334" i="32"/>
  <c r="L333" i="32"/>
  <c r="L332" i="32"/>
  <c r="L331" i="32"/>
  <c r="L330" i="32"/>
  <c r="L329" i="32"/>
  <c r="L328" i="32"/>
  <c r="L327" i="32"/>
  <c r="L326" i="32"/>
  <c r="L325" i="32"/>
  <c r="L324" i="32"/>
  <c r="L323" i="32"/>
  <c r="L322" i="32"/>
  <c r="L321" i="32"/>
  <c r="L320" i="32"/>
  <c r="L319" i="32"/>
  <c r="L318" i="32"/>
  <c r="L317" i="32"/>
  <c r="L316" i="32"/>
  <c r="L315" i="32"/>
  <c r="L314" i="32"/>
  <c r="L313" i="32"/>
  <c r="L312" i="32"/>
  <c r="L311" i="32"/>
  <c r="L310" i="32"/>
  <c r="L309" i="32"/>
  <c r="L308" i="32"/>
  <c r="L307" i="32"/>
  <c r="L306" i="32"/>
  <c r="L305" i="32"/>
  <c r="L304" i="32"/>
  <c r="L303" i="32"/>
  <c r="L302" i="32"/>
  <c r="L301" i="32"/>
  <c r="L300" i="32"/>
  <c r="L299" i="32"/>
  <c r="L298" i="32"/>
  <c r="L297" i="32"/>
  <c r="L296" i="32"/>
  <c r="L295" i="32"/>
  <c r="L294" i="32"/>
  <c r="L293" i="32"/>
  <c r="L292" i="32"/>
  <c r="L291" i="32"/>
  <c r="L290" i="32"/>
  <c r="L289" i="32"/>
  <c r="L288" i="32"/>
  <c r="L287" i="32"/>
  <c r="L286" i="32"/>
  <c r="L285" i="32"/>
  <c r="L284" i="32"/>
  <c r="L283" i="32"/>
  <c r="L282" i="32"/>
  <c r="L281" i="32"/>
  <c r="L280" i="32"/>
  <c r="L279" i="32"/>
  <c r="L278" i="32"/>
  <c r="L277" i="32"/>
  <c r="L276" i="32"/>
  <c r="L275" i="32"/>
  <c r="L274" i="32"/>
  <c r="L273" i="32"/>
  <c r="L272" i="32"/>
  <c r="L271" i="32"/>
  <c r="L270" i="32"/>
  <c r="L269" i="32"/>
  <c r="L268" i="32"/>
  <c r="L267" i="32"/>
  <c r="L266" i="32"/>
  <c r="L265" i="32"/>
  <c r="L264" i="32"/>
  <c r="L263" i="32"/>
  <c r="L262" i="32"/>
  <c r="L261" i="32"/>
  <c r="L260" i="32"/>
  <c r="L259" i="32"/>
  <c r="L258" i="32"/>
  <c r="L257" i="32"/>
  <c r="L256" i="32"/>
  <c r="L255" i="32"/>
  <c r="L254" i="32"/>
  <c r="L253" i="32"/>
  <c r="L252" i="32"/>
  <c r="L251" i="32"/>
  <c r="L250" i="32"/>
  <c r="L249" i="32"/>
  <c r="L248" i="32"/>
  <c r="L247" i="32"/>
  <c r="L246" i="32"/>
  <c r="L245" i="32"/>
  <c r="L244" i="32"/>
  <c r="L243" i="32"/>
  <c r="L242" i="32"/>
  <c r="L241" i="32"/>
  <c r="L240" i="32"/>
  <c r="L239" i="32"/>
  <c r="L238" i="32"/>
  <c r="L237" i="32"/>
  <c r="L236" i="32"/>
  <c r="L235" i="32"/>
  <c r="L234" i="32"/>
  <c r="L233" i="32"/>
  <c r="L232" i="32"/>
  <c r="L231" i="32"/>
  <c r="L230" i="32"/>
  <c r="L229" i="32"/>
  <c r="L228" i="32"/>
  <c r="L227" i="32"/>
  <c r="L226" i="32"/>
  <c r="L225" i="32"/>
  <c r="L224" i="32"/>
  <c r="L223" i="32"/>
  <c r="L222" i="32"/>
  <c r="L221" i="32"/>
  <c r="L220" i="32"/>
  <c r="L219" i="32"/>
  <c r="L218" i="32"/>
  <c r="L217" i="32"/>
  <c r="L216" i="32"/>
  <c r="L215" i="32"/>
  <c r="L214" i="32"/>
  <c r="L213" i="32"/>
  <c r="L212" i="32"/>
  <c r="L211" i="32"/>
  <c r="L210" i="32"/>
  <c r="L209" i="32"/>
  <c r="L208" i="32"/>
  <c r="L207" i="32"/>
  <c r="L206" i="32"/>
  <c r="L205" i="32"/>
  <c r="L204" i="32"/>
  <c r="L203" i="32"/>
  <c r="L202" i="32"/>
  <c r="L201" i="32"/>
  <c r="L200" i="32"/>
  <c r="L199" i="32"/>
  <c r="L198" i="32"/>
  <c r="L197" i="32"/>
  <c r="L196" i="32"/>
  <c r="L195" i="32"/>
  <c r="L194" i="32"/>
  <c r="L193" i="32"/>
  <c r="L192" i="32"/>
  <c r="L191" i="32"/>
  <c r="L190" i="32"/>
  <c r="L189" i="32"/>
  <c r="L188" i="32"/>
  <c r="L187" i="32"/>
  <c r="L186" i="32"/>
  <c r="L185" i="32"/>
  <c r="L184" i="32"/>
  <c r="L183" i="32"/>
  <c r="L182" i="32"/>
  <c r="L181" i="32"/>
  <c r="L180" i="32"/>
  <c r="L179" i="32"/>
  <c r="L178" i="32"/>
  <c r="L177" i="32"/>
  <c r="L176" i="32"/>
  <c r="L175" i="32"/>
  <c r="L174" i="32"/>
  <c r="L173" i="32"/>
  <c r="L172" i="32"/>
  <c r="L171" i="32"/>
  <c r="L170" i="32"/>
  <c r="L169" i="32"/>
  <c r="L168" i="32"/>
  <c r="L167" i="32"/>
  <c r="L166" i="32"/>
  <c r="L165" i="32"/>
  <c r="L164" i="32"/>
  <c r="L163" i="32"/>
  <c r="L162" i="32"/>
  <c r="L161" i="32"/>
  <c r="L160" i="32"/>
  <c r="L159" i="32"/>
  <c r="L158" i="32"/>
  <c r="L157" i="32"/>
  <c r="L156" i="32"/>
  <c r="L155" i="32"/>
  <c r="L154" i="32"/>
  <c r="L153" i="32"/>
  <c r="L152" i="32"/>
  <c r="L151" i="32"/>
  <c r="L150" i="32"/>
  <c r="L149" i="32"/>
  <c r="L148" i="32"/>
  <c r="L147" i="32"/>
  <c r="L146" i="32"/>
  <c r="L145" i="32"/>
  <c r="L144" i="32"/>
  <c r="L143" i="32"/>
  <c r="L142" i="32"/>
  <c r="L141" i="32"/>
  <c r="L140" i="32"/>
  <c r="L139" i="32"/>
  <c r="L138" i="32"/>
  <c r="L137" i="32"/>
  <c r="L136" i="32"/>
  <c r="L135" i="32"/>
  <c r="L134" i="32"/>
  <c r="L133" i="32"/>
  <c r="L132" i="32"/>
  <c r="L131" i="32"/>
  <c r="L130" i="32"/>
  <c r="L129" i="32"/>
  <c r="L128" i="32"/>
  <c r="L127" i="32"/>
  <c r="L126" i="32"/>
  <c r="L125" i="32"/>
  <c r="L124" i="32"/>
  <c r="L123" i="32"/>
  <c r="L122" i="32"/>
  <c r="L121" i="32"/>
  <c r="L120" i="32"/>
  <c r="L119" i="32"/>
  <c r="L118" i="32"/>
  <c r="L117" i="32"/>
  <c r="L116" i="32"/>
  <c r="L115" i="32"/>
  <c r="L114" i="32"/>
  <c r="L113" i="32"/>
  <c r="L112" i="32"/>
  <c r="L111" i="32"/>
  <c r="L110" i="32"/>
  <c r="L109" i="32"/>
  <c r="L108" i="32"/>
  <c r="L107" i="32"/>
  <c r="L106" i="32"/>
  <c r="L105" i="32"/>
  <c r="L104" i="32"/>
  <c r="L103" i="32"/>
  <c r="L102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L30" i="32"/>
  <c r="L29" i="32"/>
  <c r="L28" i="32"/>
  <c r="L27" i="32"/>
  <c r="L26" i="32"/>
  <c r="L25" i="32"/>
  <c r="L24" i="32"/>
  <c r="P23" i="32"/>
  <c r="L23" i="32"/>
  <c r="S22" i="32"/>
  <c r="L22" i="32"/>
  <c r="L21" i="32"/>
  <c r="P20" i="32"/>
  <c r="L20" i="32"/>
  <c r="C20" i="32"/>
  <c r="S19" i="32"/>
  <c r="P19" i="32"/>
  <c r="L19" i="32"/>
  <c r="F19" i="32"/>
  <c r="C19" i="32"/>
  <c r="S18" i="32"/>
  <c r="P18" i="32"/>
  <c r="L18" i="32"/>
  <c r="F18" i="32"/>
  <c r="C18" i="32"/>
  <c r="S17" i="32"/>
  <c r="P17" i="32"/>
  <c r="L17" i="32"/>
  <c r="F17" i="32"/>
  <c r="C17" i="32"/>
  <c r="S16" i="32"/>
  <c r="P16" i="32"/>
  <c r="L16" i="32"/>
  <c r="F16" i="32"/>
  <c r="C16" i="32"/>
  <c r="S15" i="32"/>
  <c r="P15" i="32"/>
  <c r="L15" i="32"/>
  <c r="F15" i="32"/>
  <c r="C15" i="32"/>
  <c r="K13" i="32"/>
  <c r="J13" i="32"/>
  <c r="L11" i="32"/>
  <c r="L10" i="32"/>
  <c r="L9" i="32"/>
  <c r="L8" i="32"/>
  <c r="L7" i="32"/>
  <c r="L6" i="32"/>
  <c r="L5" i="32"/>
  <c r="L4" i="32"/>
  <c r="L3" i="32"/>
  <c r="K1" i="32"/>
  <c r="J1" i="32"/>
  <c r="L354" i="31"/>
  <c r="L353" i="31"/>
  <c r="L352" i="31"/>
  <c r="L351" i="31"/>
  <c r="L350" i="31"/>
  <c r="L349" i="31"/>
  <c r="L348" i="31"/>
  <c r="L347" i="31"/>
  <c r="L346" i="31"/>
  <c r="L345" i="31"/>
  <c r="L344" i="31"/>
  <c r="L343" i="31"/>
  <c r="L342" i="31"/>
  <c r="L341" i="31"/>
  <c r="L340" i="31"/>
  <c r="L339" i="31"/>
  <c r="L338" i="31"/>
  <c r="L337" i="31"/>
  <c r="L336" i="31"/>
  <c r="L335" i="31"/>
  <c r="L334" i="31"/>
  <c r="L333" i="31"/>
  <c r="L332" i="31"/>
  <c r="L331" i="31"/>
  <c r="L330" i="31"/>
  <c r="L329" i="31"/>
  <c r="L328" i="31"/>
  <c r="L327" i="31"/>
  <c r="L326" i="31"/>
  <c r="L325" i="31"/>
  <c r="L324" i="31"/>
  <c r="L323" i="31"/>
  <c r="L322" i="31"/>
  <c r="L321" i="31"/>
  <c r="L320" i="31"/>
  <c r="L319" i="31"/>
  <c r="L318" i="31"/>
  <c r="L317" i="31"/>
  <c r="L316" i="31"/>
  <c r="L315" i="31"/>
  <c r="L314" i="31"/>
  <c r="L313" i="31"/>
  <c r="L312" i="31"/>
  <c r="L311" i="31"/>
  <c r="L310" i="31"/>
  <c r="L309" i="31"/>
  <c r="L308" i="31"/>
  <c r="L307" i="31"/>
  <c r="L306" i="31"/>
  <c r="L305" i="31"/>
  <c r="L304" i="31"/>
  <c r="L303" i="31"/>
  <c r="L302" i="31"/>
  <c r="L301" i="31"/>
  <c r="L300" i="31"/>
  <c r="L299" i="31"/>
  <c r="L298" i="31"/>
  <c r="L297" i="31"/>
  <c r="L296" i="31"/>
  <c r="L295" i="31"/>
  <c r="L294" i="31"/>
  <c r="L293" i="31"/>
  <c r="L292" i="31"/>
  <c r="L291" i="31"/>
  <c r="L290" i="31"/>
  <c r="L289" i="31"/>
  <c r="L288" i="31"/>
  <c r="L287" i="31"/>
  <c r="L286" i="31"/>
  <c r="L285" i="31"/>
  <c r="L284" i="31"/>
  <c r="L283" i="31"/>
  <c r="L282" i="31"/>
  <c r="L281" i="31"/>
  <c r="L280" i="31"/>
  <c r="L279" i="31"/>
  <c r="L278" i="31"/>
  <c r="L277" i="31"/>
  <c r="L276" i="31"/>
  <c r="L275" i="31"/>
  <c r="L274" i="31"/>
  <c r="L273" i="31"/>
  <c r="L272" i="31"/>
  <c r="L271" i="31"/>
  <c r="L270" i="31"/>
  <c r="L269" i="31"/>
  <c r="L268" i="31"/>
  <c r="L267" i="31"/>
  <c r="L266" i="31"/>
  <c r="L265" i="31"/>
  <c r="L264" i="31"/>
  <c r="L263" i="31"/>
  <c r="L262" i="31"/>
  <c r="L261" i="31"/>
  <c r="L260" i="31"/>
  <c r="L259" i="31"/>
  <c r="L258" i="31"/>
  <c r="L257" i="31"/>
  <c r="L256" i="31"/>
  <c r="L255" i="31"/>
  <c r="L254" i="31"/>
  <c r="L253" i="31"/>
  <c r="L252" i="31"/>
  <c r="L251" i="31"/>
  <c r="L250" i="31"/>
  <c r="L249" i="31"/>
  <c r="L248" i="31"/>
  <c r="L247" i="31"/>
  <c r="L246" i="31"/>
  <c r="L245" i="31"/>
  <c r="L244" i="31"/>
  <c r="L243" i="31"/>
  <c r="L242" i="31"/>
  <c r="L241" i="31"/>
  <c r="L240" i="31"/>
  <c r="L239" i="31"/>
  <c r="L238" i="31"/>
  <c r="L237" i="31"/>
  <c r="L236" i="31"/>
  <c r="L235" i="31"/>
  <c r="L234" i="31"/>
  <c r="L233" i="31"/>
  <c r="L232" i="31"/>
  <c r="L231" i="31"/>
  <c r="L230" i="31"/>
  <c r="L229" i="31"/>
  <c r="L228" i="31"/>
  <c r="L227" i="31"/>
  <c r="L226" i="31"/>
  <c r="L225" i="31"/>
  <c r="L224" i="31"/>
  <c r="L223" i="31"/>
  <c r="L222" i="31"/>
  <c r="L221" i="31"/>
  <c r="L220" i="31"/>
  <c r="L219" i="31"/>
  <c r="L218" i="31"/>
  <c r="L217" i="31"/>
  <c r="L216" i="31"/>
  <c r="L215" i="31"/>
  <c r="L214" i="31"/>
  <c r="L213" i="31"/>
  <c r="L212" i="31"/>
  <c r="L211" i="31"/>
  <c r="L210" i="31"/>
  <c r="L209" i="31"/>
  <c r="L208" i="31"/>
  <c r="L207" i="31"/>
  <c r="L206" i="31"/>
  <c r="L205" i="31"/>
  <c r="L204" i="31"/>
  <c r="L203" i="31"/>
  <c r="L202" i="31"/>
  <c r="L201" i="31"/>
  <c r="L200" i="31"/>
  <c r="L199" i="31"/>
  <c r="L198" i="31"/>
  <c r="L197" i="31"/>
  <c r="L196" i="31"/>
  <c r="L195" i="31"/>
  <c r="L194" i="31"/>
  <c r="L193" i="31"/>
  <c r="L192" i="31"/>
  <c r="L191" i="31"/>
  <c r="L190" i="31"/>
  <c r="L189" i="31"/>
  <c r="L188" i="31"/>
  <c r="L187" i="31"/>
  <c r="L186" i="31"/>
  <c r="L185" i="31"/>
  <c r="L184" i="31"/>
  <c r="L183" i="31"/>
  <c r="L182" i="31"/>
  <c r="L181" i="31"/>
  <c r="L180" i="31"/>
  <c r="L179" i="31"/>
  <c r="L178" i="31"/>
  <c r="L177" i="31"/>
  <c r="L176" i="31"/>
  <c r="L175" i="31"/>
  <c r="L174" i="31"/>
  <c r="L173" i="31"/>
  <c r="L172" i="31"/>
  <c r="L171" i="31"/>
  <c r="L170" i="31"/>
  <c r="L169" i="31"/>
  <c r="L168" i="31"/>
  <c r="L167" i="31"/>
  <c r="L166" i="31"/>
  <c r="L165" i="31"/>
  <c r="L164" i="31"/>
  <c r="L163" i="31"/>
  <c r="L162" i="31"/>
  <c r="L161" i="31"/>
  <c r="L160" i="31"/>
  <c r="L159" i="31"/>
  <c r="L158" i="31"/>
  <c r="L157" i="31"/>
  <c r="L156" i="31"/>
  <c r="L155" i="31"/>
  <c r="L154" i="31"/>
  <c r="L153" i="31"/>
  <c r="L152" i="31"/>
  <c r="L151" i="31"/>
  <c r="L150" i="31"/>
  <c r="L149" i="31"/>
  <c r="L148" i="31"/>
  <c r="L147" i="31"/>
  <c r="L146" i="31"/>
  <c r="L145" i="31"/>
  <c r="L144" i="31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L30" i="31"/>
  <c r="L29" i="31"/>
  <c r="L28" i="31"/>
  <c r="L27" i="31"/>
  <c r="L26" i="31"/>
  <c r="L25" i="31"/>
  <c r="L24" i="31"/>
  <c r="P23" i="31"/>
  <c r="L23" i="31"/>
  <c r="S22" i="31"/>
  <c r="L22" i="31"/>
  <c r="L21" i="31"/>
  <c r="P20" i="31"/>
  <c r="L20" i="31"/>
  <c r="C20" i="31"/>
  <c r="S19" i="31"/>
  <c r="P19" i="31"/>
  <c r="L19" i="31"/>
  <c r="F19" i="31"/>
  <c r="C19" i="31"/>
  <c r="S18" i="31"/>
  <c r="P18" i="31"/>
  <c r="L18" i="31"/>
  <c r="F18" i="31"/>
  <c r="C18" i="31"/>
  <c r="S17" i="31"/>
  <c r="P17" i="31"/>
  <c r="L17" i="31"/>
  <c r="F17" i="31"/>
  <c r="C17" i="31"/>
  <c r="S16" i="31"/>
  <c r="P16" i="31"/>
  <c r="L16" i="31"/>
  <c r="F16" i="31"/>
  <c r="C16" i="31"/>
  <c r="S15" i="31"/>
  <c r="P15" i="31"/>
  <c r="L15" i="31"/>
  <c r="F15" i="31"/>
  <c r="C15" i="31"/>
  <c r="K13" i="31"/>
  <c r="J13" i="31"/>
  <c r="L11" i="31"/>
  <c r="L10" i="31"/>
  <c r="L9" i="31"/>
  <c r="L8" i="31"/>
  <c r="L7" i="31"/>
  <c r="L6" i="31"/>
  <c r="L5" i="31"/>
  <c r="L4" i="31"/>
  <c r="L3" i="31"/>
  <c r="K1" i="31"/>
  <c r="J1" i="31"/>
  <c r="L13" i="28"/>
  <c r="L14" i="28"/>
  <c r="L15" i="28"/>
  <c r="L16" i="28"/>
  <c r="L17" i="28"/>
  <c r="L18" i="28"/>
  <c r="L19" i="28"/>
  <c r="L20" i="28"/>
  <c r="L21" i="28"/>
  <c r="L22" i="28"/>
  <c r="L23" i="28"/>
  <c r="L24" i="28"/>
  <c r="L25" i="28"/>
  <c r="L26" i="28"/>
  <c r="L27" i="28"/>
  <c r="L28" i="28"/>
  <c r="L29" i="28"/>
  <c r="L30" i="28"/>
  <c r="L31" i="28"/>
  <c r="L32" i="28"/>
  <c r="L33" i="28"/>
  <c r="L34" i="28"/>
  <c r="L35" i="28"/>
  <c r="L36" i="28"/>
  <c r="L37" i="28"/>
  <c r="L38" i="28"/>
  <c r="L39" i="28"/>
  <c r="L40" i="28"/>
  <c r="L41" i="28"/>
  <c r="L42" i="28"/>
  <c r="L43" i="28"/>
  <c r="L44" i="28"/>
  <c r="L45" i="28"/>
  <c r="L46" i="28"/>
  <c r="L47" i="28"/>
  <c r="L48" i="28"/>
  <c r="L49" i="28"/>
  <c r="L50" i="28"/>
  <c r="L51" i="28"/>
  <c r="L52" i="28"/>
  <c r="L53" i="28"/>
  <c r="L54" i="28"/>
  <c r="L55" i="28"/>
  <c r="L56" i="28"/>
  <c r="L57" i="28"/>
  <c r="L58" i="28"/>
  <c r="L59" i="28"/>
  <c r="L60" i="28"/>
  <c r="L61" i="28"/>
  <c r="L62" i="28"/>
  <c r="L63" i="28"/>
  <c r="L64" i="28"/>
  <c r="L65" i="28"/>
  <c r="L66" i="28"/>
  <c r="L67" i="28"/>
  <c r="L68" i="28"/>
  <c r="L69" i="28"/>
  <c r="L70" i="28"/>
  <c r="L71" i="28"/>
  <c r="L72" i="28"/>
  <c r="L73" i="28"/>
  <c r="L74" i="28"/>
  <c r="L75" i="28"/>
  <c r="L76" i="28"/>
  <c r="L77" i="28"/>
  <c r="L78" i="28"/>
  <c r="L79" i="28"/>
  <c r="L80" i="28"/>
  <c r="L81" i="28"/>
  <c r="L82" i="28"/>
  <c r="L83" i="28"/>
  <c r="L84" i="28"/>
  <c r="L85" i="28"/>
  <c r="L86" i="28"/>
  <c r="L87" i="28"/>
  <c r="L88" i="28"/>
  <c r="L89" i="28"/>
  <c r="L90" i="28"/>
  <c r="L91" i="28"/>
  <c r="L92" i="28"/>
  <c r="L93" i="28"/>
  <c r="L94" i="28"/>
  <c r="L95" i="28"/>
  <c r="L96" i="28"/>
  <c r="L97" i="28"/>
  <c r="L98" i="28"/>
  <c r="L99" i="28"/>
  <c r="L100" i="28"/>
  <c r="L101" i="28"/>
  <c r="L102" i="28"/>
  <c r="L103" i="28"/>
  <c r="L104" i="28"/>
  <c r="L105" i="28"/>
  <c r="L106" i="28"/>
  <c r="L107" i="28"/>
  <c r="L108" i="28"/>
  <c r="L109" i="28"/>
  <c r="L110" i="28"/>
  <c r="L111" i="28"/>
  <c r="L112" i="28"/>
  <c r="L113" i="28"/>
  <c r="L114" i="28"/>
  <c r="L115" i="28"/>
  <c r="L116" i="28"/>
  <c r="L117" i="28"/>
  <c r="L118" i="28"/>
  <c r="L119" i="28"/>
  <c r="L120" i="28"/>
  <c r="L121" i="28"/>
  <c r="L122" i="28"/>
  <c r="L123" i="28"/>
  <c r="L124" i="28"/>
  <c r="L125" i="28"/>
  <c r="L126" i="28"/>
  <c r="L127" i="28"/>
  <c r="L128" i="28"/>
  <c r="L129" i="28"/>
  <c r="L130" i="28"/>
  <c r="L131" i="28"/>
  <c r="L132" i="28"/>
  <c r="L133" i="28"/>
  <c r="L134" i="28"/>
  <c r="L135" i="28"/>
  <c r="L136" i="28"/>
  <c r="L137" i="28"/>
  <c r="L138" i="28"/>
  <c r="L139" i="28"/>
  <c r="L140" i="28"/>
  <c r="L141" i="28"/>
  <c r="L142" i="28"/>
  <c r="L143" i="28"/>
  <c r="L144" i="28"/>
  <c r="L145" i="28"/>
  <c r="L146" i="28"/>
  <c r="L147" i="28"/>
  <c r="L148" i="28"/>
  <c r="L149" i="28"/>
  <c r="L150" i="28"/>
  <c r="L151" i="28"/>
  <c r="L152" i="28"/>
  <c r="L153" i="28"/>
  <c r="L154" i="28"/>
  <c r="L155" i="28"/>
  <c r="L156" i="28"/>
  <c r="L157" i="28"/>
  <c r="L158" i="28"/>
  <c r="L159" i="28"/>
  <c r="L160" i="28"/>
  <c r="L161" i="28"/>
  <c r="L162" i="28"/>
  <c r="L163" i="28"/>
  <c r="L164" i="28"/>
  <c r="L165" i="28"/>
  <c r="L166" i="28"/>
  <c r="L167" i="28"/>
  <c r="L168" i="28"/>
  <c r="L169" i="28"/>
  <c r="L170" i="28"/>
  <c r="L171" i="28"/>
  <c r="L172" i="28"/>
  <c r="L173" i="28"/>
  <c r="L174" i="28"/>
  <c r="L175" i="28"/>
  <c r="L176" i="28"/>
  <c r="L177" i="28"/>
  <c r="L178" i="28"/>
  <c r="L179" i="28"/>
  <c r="L180" i="28"/>
  <c r="L181" i="28"/>
  <c r="L182" i="28"/>
  <c r="L183" i="28"/>
  <c r="L184" i="28"/>
  <c r="L185" i="28"/>
  <c r="L186" i="28"/>
  <c r="L187" i="28"/>
  <c r="L188" i="28"/>
  <c r="L189" i="28"/>
  <c r="L190" i="28"/>
  <c r="L191" i="28"/>
  <c r="L192" i="28"/>
  <c r="L193" i="28"/>
  <c r="L194" i="28"/>
  <c r="L195" i="28"/>
  <c r="L196" i="28"/>
  <c r="L197" i="28"/>
  <c r="L198" i="28"/>
  <c r="L199" i="28"/>
  <c r="L200" i="28"/>
  <c r="L201" i="28"/>
  <c r="L202" i="28"/>
  <c r="L203" i="28"/>
  <c r="L204" i="28"/>
  <c r="L205" i="28"/>
  <c r="L206" i="28"/>
  <c r="L207" i="28"/>
  <c r="L208" i="28"/>
  <c r="L209" i="28"/>
  <c r="L210" i="28"/>
  <c r="L211" i="28"/>
  <c r="L212" i="28"/>
  <c r="L213" i="28"/>
  <c r="L214" i="28"/>
  <c r="L215" i="28"/>
  <c r="L216" i="28"/>
  <c r="L217" i="28"/>
  <c r="L218" i="28"/>
  <c r="L219" i="28"/>
  <c r="L220" i="28"/>
  <c r="L221" i="28"/>
  <c r="L222" i="28"/>
  <c r="L223" i="28"/>
  <c r="L224" i="28"/>
  <c r="L225" i="28"/>
  <c r="L226" i="28"/>
  <c r="L227" i="28"/>
  <c r="L228" i="28"/>
  <c r="L229" i="28"/>
  <c r="L230" i="28"/>
  <c r="L231" i="28"/>
  <c r="L232" i="28"/>
  <c r="L233" i="28"/>
  <c r="L234" i="28"/>
  <c r="L235" i="28"/>
  <c r="L236" i="28"/>
  <c r="L237" i="28"/>
  <c r="L238" i="28"/>
  <c r="L239" i="28"/>
  <c r="L240" i="28"/>
  <c r="L241" i="28"/>
  <c r="L242" i="28"/>
  <c r="L243" i="28"/>
  <c r="L244" i="28"/>
  <c r="L245" i="28"/>
  <c r="L246" i="28"/>
  <c r="L247" i="28"/>
  <c r="L248" i="28"/>
  <c r="L249" i="28"/>
  <c r="L250" i="28"/>
  <c r="L251" i="28"/>
  <c r="L252" i="28"/>
  <c r="L253" i="28"/>
  <c r="L254" i="28"/>
  <c r="L255" i="28"/>
  <c r="L256" i="28"/>
  <c r="L257" i="28"/>
  <c r="L258" i="28"/>
  <c r="L259" i="28"/>
  <c r="L260" i="28"/>
  <c r="L261" i="28"/>
  <c r="L262" i="28"/>
  <c r="L263" i="28"/>
  <c r="L264" i="28"/>
  <c r="L265" i="28"/>
  <c r="L266" i="28"/>
  <c r="L267" i="28"/>
  <c r="L268" i="28"/>
  <c r="L269" i="28"/>
  <c r="L270" i="28"/>
  <c r="L271" i="28"/>
  <c r="L272" i="28"/>
  <c r="L273" i="28"/>
  <c r="L274" i="28"/>
  <c r="L275" i="28"/>
  <c r="L276" i="28"/>
  <c r="L277" i="28"/>
  <c r="L278" i="28"/>
  <c r="L279" i="28"/>
  <c r="L280" i="28"/>
  <c r="L281" i="28"/>
  <c r="L282" i="28"/>
  <c r="L283" i="28"/>
  <c r="L284" i="28"/>
  <c r="L285" i="28"/>
  <c r="L286" i="28"/>
  <c r="L287" i="28"/>
  <c r="L288" i="28"/>
  <c r="L289" i="28"/>
  <c r="L290" i="28"/>
  <c r="L291" i="28"/>
  <c r="L292" i="28"/>
  <c r="L293" i="28"/>
  <c r="L294" i="28"/>
  <c r="L295" i="28"/>
  <c r="L296" i="28"/>
  <c r="L297" i="28"/>
  <c r="L298" i="28"/>
  <c r="L299" i="28"/>
  <c r="L300" i="28"/>
  <c r="L301" i="28"/>
  <c r="L302" i="28"/>
  <c r="L303" i="28"/>
  <c r="L304" i="28"/>
  <c r="L305" i="28"/>
  <c r="L306" i="28"/>
  <c r="L307" i="28"/>
  <c r="L308" i="28"/>
  <c r="L309" i="28"/>
  <c r="L310" i="28"/>
  <c r="L311" i="28"/>
  <c r="L312" i="28"/>
  <c r="L313" i="28"/>
  <c r="L314" i="28"/>
  <c r="L315" i="28"/>
  <c r="L316" i="28"/>
  <c r="L317" i="28"/>
  <c r="L318" i="28"/>
  <c r="L319" i="28"/>
  <c r="L320" i="28"/>
  <c r="L321" i="28"/>
  <c r="L322" i="28"/>
  <c r="L323" i="28"/>
  <c r="L324" i="28"/>
  <c r="L325" i="28"/>
  <c r="L326" i="28"/>
  <c r="L327" i="28"/>
  <c r="L328" i="28"/>
  <c r="L329" i="28"/>
  <c r="L330" i="28"/>
  <c r="L331" i="28"/>
  <c r="L332" i="28"/>
  <c r="L333" i="28"/>
  <c r="L334" i="28"/>
  <c r="L335" i="28"/>
  <c r="L336" i="28"/>
  <c r="L337" i="28"/>
  <c r="L338" i="28"/>
  <c r="L339" i="28"/>
  <c r="L340" i="28"/>
  <c r="L341" i="28"/>
  <c r="L342" i="28"/>
  <c r="L343" i="28"/>
  <c r="L344" i="28"/>
  <c r="L345" i="28"/>
  <c r="L346" i="28"/>
  <c r="L347" i="28"/>
  <c r="L348" i="28"/>
  <c r="L349" i="28"/>
  <c r="L350" i="28"/>
  <c r="L351" i="28"/>
  <c r="L352" i="28"/>
  <c r="L11" i="28"/>
  <c r="L10" i="28"/>
  <c r="L9" i="28"/>
  <c r="L8" i="28"/>
  <c r="L7" i="28"/>
  <c r="L6" i="28"/>
  <c r="L5" i="28"/>
  <c r="L4" i="28"/>
  <c r="L3" i="28"/>
  <c r="K1" i="28"/>
  <c r="J1" i="28"/>
  <c r="K1" i="29"/>
  <c r="J1" i="29"/>
  <c r="L11" i="29"/>
  <c r="L10" i="29"/>
  <c r="L9" i="29"/>
  <c r="L8" i="29"/>
  <c r="L7" i="29"/>
  <c r="L6" i="29"/>
  <c r="L5" i="29"/>
  <c r="L4" i="29"/>
  <c r="L3" i="29"/>
  <c r="L15" i="29"/>
  <c r="L16" i="29"/>
  <c r="L17" i="29"/>
  <c r="L18" i="29"/>
  <c r="L19" i="29"/>
  <c r="L20" i="29"/>
  <c r="L21" i="29"/>
  <c r="L22" i="29"/>
  <c r="L23" i="29"/>
  <c r="L24" i="29"/>
  <c r="L25" i="29"/>
  <c r="L26" i="29"/>
  <c r="L27" i="29"/>
  <c r="L28" i="29"/>
  <c r="L29" i="29"/>
  <c r="L30" i="29"/>
  <c r="L31" i="29"/>
  <c r="L32" i="29"/>
  <c r="L33" i="29"/>
  <c r="L34" i="29"/>
  <c r="L35" i="29"/>
  <c r="L36" i="29"/>
  <c r="L37" i="29"/>
  <c r="L38" i="29"/>
  <c r="L39" i="29"/>
  <c r="L40" i="29"/>
  <c r="L41" i="29"/>
  <c r="L42" i="29"/>
  <c r="L43" i="29"/>
  <c r="L44" i="29"/>
  <c r="L45" i="29"/>
  <c r="L46" i="29"/>
  <c r="L47" i="29"/>
  <c r="L48" i="29"/>
  <c r="L49" i="29"/>
  <c r="L50" i="29"/>
  <c r="L51" i="29"/>
  <c r="L52" i="29"/>
  <c r="L53" i="29"/>
  <c r="L54" i="29"/>
  <c r="L55" i="29"/>
  <c r="L56" i="29"/>
  <c r="L57" i="29"/>
  <c r="L58" i="29"/>
  <c r="L59" i="29"/>
  <c r="L60" i="29"/>
  <c r="L61" i="29"/>
  <c r="L62" i="29"/>
  <c r="L63" i="29"/>
  <c r="L64" i="29"/>
  <c r="L65" i="29"/>
  <c r="L66" i="29"/>
  <c r="L67" i="29"/>
  <c r="L68" i="29"/>
  <c r="L69" i="29"/>
  <c r="L70" i="29"/>
  <c r="L71" i="29"/>
  <c r="L72" i="29"/>
  <c r="L73" i="29"/>
  <c r="L74" i="29"/>
  <c r="L75" i="29"/>
  <c r="L76" i="29"/>
  <c r="L77" i="29"/>
  <c r="L78" i="29"/>
  <c r="L79" i="29"/>
  <c r="L80" i="29"/>
  <c r="L81" i="29"/>
  <c r="L82" i="29"/>
  <c r="L83" i="29"/>
  <c r="L84" i="29"/>
  <c r="L85" i="29"/>
  <c r="L86" i="29"/>
  <c r="L87" i="29"/>
  <c r="L88" i="29"/>
  <c r="L89" i="29"/>
  <c r="L90" i="29"/>
  <c r="L91" i="29"/>
  <c r="L92" i="29"/>
  <c r="L93" i="29"/>
  <c r="L94" i="29"/>
  <c r="L95" i="29"/>
  <c r="L96" i="29"/>
  <c r="L97" i="29"/>
  <c r="L98" i="29"/>
  <c r="L99" i="29"/>
  <c r="L100" i="29"/>
  <c r="L101" i="29"/>
  <c r="L102" i="29"/>
  <c r="L103" i="29"/>
  <c r="L104" i="29"/>
  <c r="L105" i="29"/>
  <c r="L106" i="29"/>
  <c r="L107" i="29"/>
  <c r="L108" i="29"/>
  <c r="L109" i="29"/>
  <c r="L110" i="29"/>
  <c r="L111" i="29"/>
  <c r="L112" i="29"/>
  <c r="L113" i="29"/>
  <c r="L114" i="29"/>
  <c r="L115" i="29"/>
  <c r="L116" i="29"/>
  <c r="L117" i="29"/>
  <c r="L118" i="29"/>
  <c r="L119" i="29"/>
  <c r="L120" i="29"/>
  <c r="L121" i="29"/>
  <c r="L122" i="29"/>
  <c r="L123" i="29"/>
  <c r="L124" i="29"/>
  <c r="L125" i="29"/>
  <c r="L126" i="29"/>
  <c r="L127" i="29"/>
  <c r="L128" i="29"/>
  <c r="L129" i="29"/>
  <c r="L130" i="29"/>
  <c r="L131" i="29"/>
  <c r="L132" i="29"/>
  <c r="L133" i="29"/>
  <c r="L134" i="29"/>
  <c r="L135" i="29"/>
  <c r="L136" i="29"/>
  <c r="L137" i="29"/>
  <c r="L138" i="29"/>
  <c r="L139" i="29"/>
  <c r="L140" i="29"/>
  <c r="L141" i="29"/>
  <c r="L142" i="29"/>
  <c r="L143" i="29"/>
  <c r="L144" i="29"/>
  <c r="L145" i="29"/>
  <c r="L146" i="29"/>
  <c r="L147" i="29"/>
  <c r="L148" i="29"/>
  <c r="L149" i="29"/>
  <c r="L150" i="29"/>
  <c r="L151" i="29"/>
  <c r="L152" i="29"/>
  <c r="L153" i="29"/>
  <c r="L154" i="29"/>
  <c r="L155" i="29"/>
  <c r="L156" i="29"/>
  <c r="L157" i="29"/>
  <c r="L158" i="29"/>
  <c r="L159" i="29"/>
  <c r="L160" i="29"/>
  <c r="L161" i="29"/>
  <c r="L162" i="29"/>
  <c r="L163" i="29"/>
  <c r="L164" i="29"/>
  <c r="L165" i="29"/>
  <c r="L166" i="29"/>
  <c r="L167" i="29"/>
  <c r="L168" i="29"/>
  <c r="L169" i="29"/>
  <c r="L170" i="29"/>
  <c r="L171" i="29"/>
  <c r="L172" i="29"/>
  <c r="L173" i="29"/>
  <c r="L174" i="29"/>
  <c r="L175" i="29"/>
  <c r="L176" i="29"/>
  <c r="L177" i="29"/>
  <c r="L178" i="29"/>
  <c r="L179" i="29"/>
  <c r="L180" i="29"/>
  <c r="L181" i="29"/>
  <c r="L182" i="29"/>
  <c r="L183" i="29"/>
  <c r="L184" i="29"/>
  <c r="L185" i="29"/>
  <c r="L186" i="29"/>
  <c r="L187" i="29"/>
  <c r="L188" i="29"/>
  <c r="L189" i="29"/>
  <c r="L190" i="29"/>
  <c r="L191" i="29"/>
  <c r="L192" i="29"/>
  <c r="L193" i="29"/>
  <c r="L194" i="29"/>
  <c r="L195" i="29"/>
  <c r="L196" i="29"/>
  <c r="L197" i="29"/>
  <c r="L198" i="29"/>
  <c r="L199" i="29"/>
  <c r="L200" i="29"/>
  <c r="L201" i="29"/>
  <c r="L202" i="29"/>
  <c r="L203" i="29"/>
  <c r="L204" i="29"/>
  <c r="L205" i="29"/>
  <c r="L206" i="29"/>
  <c r="L207" i="29"/>
  <c r="L208" i="29"/>
  <c r="L209" i="29"/>
  <c r="L210" i="29"/>
  <c r="L211" i="29"/>
  <c r="L212" i="29"/>
  <c r="L213" i="29"/>
  <c r="L214" i="29"/>
  <c r="L215" i="29"/>
  <c r="L216" i="29"/>
  <c r="L217" i="29"/>
  <c r="L218" i="29"/>
  <c r="L219" i="29"/>
  <c r="L220" i="29"/>
  <c r="L221" i="29"/>
  <c r="L222" i="29"/>
  <c r="L223" i="29"/>
  <c r="L224" i="29"/>
  <c r="L225" i="29"/>
  <c r="L226" i="29"/>
  <c r="L227" i="29"/>
  <c r="L228" i="29"/>
  <c r="L229" i="29"/>
  <c r="L230" i="29"/>
  <c r="L231" i="29"/>
  <c r="L232" i="29"/>
  <c r="L233" i="29"/>
  <c r="L234" i="29"/>
  <c r="L235" i="29"/>
  <c r="L236" i="29"/>
  <c r="L237" i="29"/>
  <c r="L238" i="29"/>
  <c r="L239" i="29"/>
  <c r="L240" i="29"/>
  <c r="L241" i="29"/>
  <c r="L242" i="29"/>
  <c r="L243" i="29"/>
  <c r="L244" i="29"/>
  <c r="L245" i="29"/>
  <c r="L246" i="29"/>
  <c r="L247" i="29"/>
  <c r="L248" i="29"/>
  <c r="L249" i="29"/>
  <c r="L250" i="29"/>
  <c r="L251" i="29"/>
  <c r="L252" i="29"/>
  <c r="L253" i="29"/>
  <c r="L254" i="29"/>
  <c r="L255" i="29"/>
  <c r="L256" i="29"/>
  <c r="L257" i="29"/>
  <c r="L258" i="29"/>
  <c r="L259" i="29"/>
  <c r="L260" i="29"/>
  <c r="L261" i="29"/>
  <c r="L262" i="29"/>
  <c r="L263" i="29"/>
  <c r="L264" i="29"/>
  <c r="L265" i="29"/>
  <c r="L266" i="29"/>
  <c r="L267" i="29"/>
  <c r="L268" i="29"/>
  <c r="L269" i="29"/>
  <c r="L270" i="29"/>
  <c r="L271" i="29"/>
  <c r="L272" i="29"/>
  <c r="L273" i="29"/>
  <c r="L274" i="29"/>
  <c r="L275" i="29"/>
  <c r="L276" i="29"/>
  <c r="L277" i="29"/>
  <c r="L278" i="29"/>
  <c r="L279" i="29"/>
  <c r="L280" i="29"/>
  <c r="L281" i="29"/>
  <c r="L282" i="29"/>
  <c r="L283" i="29"/>
  <c r="L284" i="29"/>
  <c r="L285" i="29"/>
  <c r="L286" i="29"/>
  <c r="L287" i="29"/>
  <c r="L288" i="29"/>
  <c r="L289" i="29"/>
  <c r="L290" i="29"/>
  <c r="L291" i="29"/>
  <c r="L292" i="29"/>
  <c r="L293" i="29"/>
  <c r="L294" i="29"/>
  <c r="L295" i="29"/>
  <c r="L296" i="29"/>
  <c r="L297" i="29"/>
  <c r="L298" i="29"/>
  <c r="L299" i="29"/>
  <c r="L300" i="29"/>
  <c r="L301" i="29"/>
  <c r="L302" i="29"/>
  <c r="L303" i="29"/>
  <c r="L304" i="29"/>
  <c r="L305" i="29"/>
  <c r="L306" i="29"/>
  <c r="L307" i="29"/>
  <c r="L308" i="29"/>
  <c r="L309" i="29"/>
  <c r="L310" i="29"/>
  <c r="L311" i="29"/>
  <c r="L312" i="29"/>
  <c r="L313" i="29"/>
  <c r="L314" i="29"/>
  <c r="L315" i="29"/>
  <c r="L316" i="29"/>
  <c r="L317" i="29"/>
  <c r="L318" i="29"/>
  <c r="L319" i="29"/>
  <c r="L320" i="29"/>
  <c r="L321" i="29"/>
  <c r="L322" i="29"/>
  <c r="L323" i="29"/>
  <c r="L324" i="29"/>
  <c r="L325" i="29"/>
  <c r="L326" i="29"/>
  <c r="L327" i="29"/>
  <c r="L328" i="29"/>
  <c r="L329" i="29"/>
  <c r="L330" i="29"/>
  <c r="L331" i="29"/>
  <c r="L332" i="29"/>
  <c r="L333" i="29"/>
  <c r="L334" i="29"/>
  <c r="L335" i="29"/>
  <c r="L336" i="29"/>
  <c r="L337" i="29"/>
  <c r="L338" i="29"/>
  <c r="L339" i="29"/>
  <c r="L340" i="29"/>
  <c r="L341" i="29"/>
  <c r="L342" i="29"/>
  <c r="L343" i="29"/>
  <c r="L344" i="29"/>
  <c r="L345" i="29"/>
  <c r="L346" i="29"/>
  <c r="L347" i="29"/>
  <c r="L348" i="29"/>
  <c r="L349" i="29"/>
  <c r="L350" i="29"/>
  <c r="L351" i="29"/>
  <c r="L352" i="29"/>
  <c r="L353" i="29"/>
  <c r="L354" i="29"/>
  <c r="P23" i="29"/>
  <c r="S22" i="29"/>
  <c r="P20" i="29"/>
  <c r="C20" i="29"/>
  <c r="S19" i="29"/>
  <c r="P19" i="29"/>
  <c r="F19" i="29"/>
  <c r="C19" i="29"/>
  <c r="S18" i="29"/>
  <c r="P18" i="29"/>
  <c r="F18" i="29"/>
  <c r="C18" i="29"/>
  <c r="S17" i="29"/>
  <c r="P17" i="29"/>
  <c r="F17" i="29"/>
  <c r="C17" i="29"/>
  <c r="S16" i="29"/>
  <c r="P16" i="29"/>
  <c r="F16" i="29"/>
  <c r="C16" i="29"/>
  <c r="S15" i="29"/>
  <c r="P15" i="29"/>
  <c r="F15" i="29"/>
  <c r="C15" i="29"/>
  <c r="K13" i="29"/>
  <c r="J13" i="29"/>
  <c r="P21" i="28"/>
  <c r="S20" i="28"/>
  <c r="P18" i="28"/>
  <c r="C18" i="28"/>
  <c r="S17" i="28"/>
  <c r="P17" i="28"/>
  <c r="F17" i="28"/>
  <c r="C17" i="28"/>
  <c r="S16" i="28"/>
  <c r="P16" i="28"/>
  <c r="F16" i="28"/>
  <c r="C16" i="28"/>
  <c r="S15" i="28"/>
  <c r="P15" i="28"/>
  <c r="F15" i="28"/>
  <c r="C15" i="28"/>
  <c r="S14" i="28"/>
  <c r="P14" i="28"/>
  <c r="F14" i="28"/>
  <c r="C14" i="28"/>
  <c r="S13" i="28"/>
  <c r="P13" i="28"/>
  <c r="F13" i="28"/>
  <c r="C13" i="28"/>
  <c r="C30" i="39"/>
  <c r="F29" i="39"/>
  <c r="B23" i="30"/>
  <c r="B10" i="30"/>
  <c r="D19" i="30"/>
  <c r="D30" i="30"/>
  <c r="C20" i="30"/>
  <c r="C32" i="30"/>
  <c r="C4" i="30"/>
  <c r="B22" i="30"/>
  <c r="B27" i="30"/>
  <c r="B7" i="30"/>
  <c r="B26" i="30"/>
  <c r="B20" i="30"/>
  <c r="D10" i="30"/>
  <c r="B25" i="30"/>
  <c r="C14" i="30"/>
  <c r="B16" i="30"/>
  <c r="C23" i="30"/>
  <c r="B28" i="30"/>
  <c r="B14" i="30"/>
  <c r="C30" i="30"/>
  <c r="F29" i="36"/>
  <c r="B17" i="30"/>
  <c r="C5" i="30"/>
  <c r="B21" i="30"/>
  <c r="D14" i="30"/>
  <c r="C13" i="30"/>
  <c r="D21" i="30"/>
  <c r="C29" i="30"/>
  <c r="C23" i="34"/>
  <c r="C10" i="30"/>
  <c r="B3" i="30"/>
  <c r="D9" i="30"/>
  <c r="D7" i="30"/>
  <c r="C3" i="30"/>
  <c r="D20" i="30"/>
  <c r="C18" i="30"/>
  <c r="D29" i="30"/>
  <c r="D16" i="30"/>
  <c r="F29" i="35"/>
  <c r="C17" i="30"/>
  <c r="D15" i="30"/>
  <c r="D23" i="30"/>
  <c r="D12" i="30"/>
  <c r="B9" i="30"/>
  <c r="C8" i="30"/>
  <c r="D8" i="30"/>
  <c r="C12" i="30"/>
  <c r="C6" i="30"/>
  <c r="D18" i="30"/>
  <c r="C30" i="35"/>
  <c r="B31" i="30"/>
  <c r="C7" i="30"/>
  <c r="F22" i="34"/>
  <c r="B6" i="30"/>
  <c r="D11" i="30"/>
  <c r="C25" i="30"/>
  <c r="C24" i="30"/>
  <c r="B32" i="30"/>
  <c r="D26" i="30"/>
  <c r="D13" i="30"/>
  <c r="B12" i="30"/>
  <c r="D6" i="30"/>
  <c r="C30" i="36"/>
  <c r="B8" i="30"/>
  <c r="C9" i="30"/>
  <c r="D5" i="30"/>
  <c r="F26" i="33"/>
  <c r="D3" i="30"/>
  <c r="D4" i="30"/>
  <c r="C23" i="32"/>
  <c r="B13" i="30"/>
  <c r="C11" i="30"/>
  <c r="C22" i="30"/>
  <c r="C21" i="30"/>
  <c r="D17" i="30"/>
  <c r="F22" i="32"/>
  <c r="D22" i="30"/>
  <c r="B19" i="30"/>
  <c r="B29" i="30"/>
  <c r="F29" i="38"/>
  <c r="C30" i="38"/>
  <c r="D24" i="30"/>
  <c r="D31" i="30"/>
  <c r="C26" i="30"/>
  <c r="F29" i="37"/>
  <c r="C19" i="30"/>
  <c r="C16" i="30"/>
  <c r="B15" i="30"/>
  <c r="D25" i="30"/>
  <c r="C27" i="30"/>
  <c r="C31" i="30"/>
  <c r="D27" i="30"/>
  <c r="B11" i="30"/>
  <c r="C27" i="33"/>
  <c r="C15" i="30"/>
  <c r="B4" i="30"/>
  <c r="C28" i="30"/>
  <c r="D32" i="30"/>
  <c r="B18" i="30"/>
  <c r="C30" i="37"/>
  <c r="B24" i="30"/>
  <c r="B5" i="30"/>
  <c r="D28" i="30"/>
  <c r="B30" i="30"/>
  <c r="L1" i="39" l="1"/>
  <c r="F27" i="39"/>
  <c r="S31" i="39" s="1"/>
  <c r="C28" i="39"/>
  <c r="P28" i="39"/>
  <c r="P32" i="39" s="1"/>
  <c r="L20" i="39"/>
  <c r="F27" i="38"/>
  <c r="S31" i="38" s="1"/>
  <c r="L1" i="38"/>
  <c r="P28" i="38"/>
  <c r="P32" i="38" s="1"/>
  <c r="L20" i="38"/>
  <c r="G7" i="30"/>
  <c r="F7" i="30"/>
  <c r="G14" i="30"/>
  <c r="F14" i="30"/>
  <c r="S20" i="34"/>
  <c r="C21" i="34"/>
  <c r="C25" i="33"/>
  <c r="F27" i="37"/>
  <c r="C28" i="37"/>
  <c r="L1" i="37"/>
  <c r="S27" i="37"/>
  <c r="P28" i="37"/>
  <c r="L20" i="37"/>
  <c r="S27" i="36"/>
  <c r="C28" i="36"/>
  <c r="L1" i="36"/>
  <c r="F27" i="36"/>
  <c r="P28" i="36"/>
  <c r="L20" i="36"/>
  <c r="S27" i="35"/>
  <c r="F20" i="34"/>
  <c r="F27" i="35"/>
  <c r="L1" i="35"/>
  <c r="P28" i="35"/>
  <c r="L20" i="35"/>
  <c r="C28" i="35"/>
  <c r="L1" i="34"/>
  <c r="P21" i="34"/>
  <c r="L13" i="34"/>
  <c r="L1" i="32"/>
  <c r="L1" i="31"/>
  <c r="E8" i="30"/>
  <c r="E13" i="30"/>
  <c r="E9" i="30"/>
  <c r="E11" i="30"/>
  <c r="E10" i="30"/>
  <c r="E12" i="30"/>
  <c r="E6" i="30"/>
  <c r="E5" i="30"/>
  <c r="E4" i="30"/>
  <c r="E7" i="30"/>
  <c r="E3" i="30"/>
  <c r="S24" i="33"/>
  <c r="F24" i="33"/>
  <c r="P25" i="33"/>
  <c r="L1" i="33"/>
  <c r="L17" i="33"/>
  <c r="S20" i="32"/>
  <c r="P21" i="32"/>
  <c r="F20" i="32"/>
  <c r="C21" i="32"/>
  <c r="L13" i="32"/>
  <c r="L1" i="28"/>
  <c r="S20" i="31"/>
  <c r="P21" i="31"/>
  <c r="F20" i="31"/>
  <c r="C21" i="31"/>
  <c r="L13" i="31"/>
  <c r="L1" i="29"/>
  <c r="L13" i="29"/>
  <c r="C19" i="28"/>
  <c r="F20" i="29"/>
  <c r="P21" i="29"/>
  <c r="S20" i="29"/>
  <c r="C21" i="29"/>
  <c r="S18" i="28"/>
  <c r="P19" i="28"/>
  <c r="F18" i="28"/>
  <c r="F31" i="39"/>
  <c r="C32" i="39"/>
  <c r="C32" i="36"/>
  <c r="F28" i="33"/>
  <c r="F24" i="32"/>
  <c r="F24" i="34"/>
  <c r="C32" i="38"/>
  <c r="F31" i="37"/>
  <c r="F31" i="38"/>
  <c r="C25" i="32"/>
  <c r="F31" i="35"/>
  <c r="C25" i="34"/>
  <c r="C32" i="35"/>
  <c r="F31" i="36"/>
  <c r="C32" i="37"/>
  <c r="C29" i="33"/>
  <c r="S22" i="28" l="1"/>
  <c r="P25" i="34"/>
  <c r="P29" i="33"/>
  <c r="H14" i="30"/>
  <c r="H7" i="30"/>
  <c r="P32" i="35"/>
  <c r="S24" i="34"/>
  <c r="S31" i="37"/>
  <c r="P32" i="37"/>
  <c r="S31" i="36"/>
  <c r="P32" i="36"/>
  <c r="S31" i="35"/>
  <c r="S24" i="29"/>
  <c r="S28" i="33"/>
  <c r="S24" i="32"/>
  <c r="P25" i="32"/>
  <c r="P23" i="28"/>
  <c r="P25" i="31"/>
  <c r="S24" i="31"/>
  <c r="P25" i="29"/>
  <c r="D1" i="30" l="1"/>
  <c r="C1" i="30"/>
  <c r="B1" i="30" l="1"/>
  <c r="E1" i="30" s="1"/>
</calcChain>
</file>

<file path=xl/sharedStrings.xml><?xml version="1.0" encoding="utf-8"?>
<sst xmlns="http://schemas.openxmlformats.org/spreadsheetml/2006/main" count="4283" uniqueCount="362">
  <si>
    <t>العدد</t>
  </si>
  <si>
    <t>المجموع</t>
  </si>
  <si>
    <t>الفئة دولار</t>
  </si>
  <si>
    <t>الفئة لبناني</t>
  </si>
  <si>
    <t>الدولار</t>
  </si>
  <si>
    <t>اللبناني</t>
  </si>
  <si>
    <t>البيان</t>
  </si>
  <si>
    <t>ابو طارق</t>
  </si>
  <si>
    <t>بنزين حسام</t>
  </si>
  <si>
    <t>ترابة سوداء</t>
  </si>
  <si>
    <t>شطافة</t>
  </si>
  <si>
    <t>مهدي</t>
  </si>
  <si>
    <t>للحاج</t>
  </si>
  <si>
    <t>من الحاج</t>
  </si>
  <si>
    <t>ايبو</t>
  </si>
  <si>
    <t>مسكة شطافة</t>
  </si>
  <si>
    <t>رندال</t>
  </si>
  <si>
    <t>الفرق</t>
  </si>
  <si>
    <t>-</t>
  </si>
  <si>
    <t>جرد اول النهار</t>
  </si>
  <si>
    <t>كاتو</t>
  </si>
  <si>
    <t>جرد اخر النهار</t>
  </si>
  <si>
    <t>حركة الصندوق</t>
  </si>
  <si>
    <t>حركة الصندوق $</t>
  </si>
  <si>
    <t>حركة الصندوق ل.ل</t>
  </si>
  <si>
    <t>عباس</t>
  </si>
  <si>
    <t>محمود سلامة</t>
  </si>
  <si>
    <t>نربيج شطافة</t>
  </si>
  <si>
    <t>لقمان</t>
  </si>
  <si>
    <t>خلاط</t>
  </si>
  <si>
    <t>ابو الحسن</t>
  </si>
  <si>
    <t>بنزين ابراهيم</t>
  </si>
  <si>
    <t>رزيستنس</t>
  </si>
  <si>
    <t>بنزين ابو هيثم</t>
  </si>
  <si>
    <t>بويا</t>
  </si>
  <si>
    <t>سدة</t>
  </si>
  <si>
    <t>طبوش</t>
  </si>
  <si>
    <t>مرتجع</t>
  </si>
  <si>
    <t>ابو حسين سلامة</t>
  </si>
  <si>
    <t>بلاط</t>
  </si>
  <si>
    <t>علي اكشاي</t>
  </si>
  <si>
    <t>علي ايبو</t>
  </si>
  <si>
    <t>بنزين عبد</t>
  </si>
  <si>
    <t>ناصر</t>
  </si>
  <si>
    <t>سيليكون</t>
  </si>
  <si>
    <t>ترابة</t>
  </si>
  <si>
    <t>موتير ليو حصان</t>
  </si>
  <si>
    <t>قلب ومسكة</t>
  </si>
  <si>
    <t>اكياس ردم</t>
  </si>
  <si>
    <t>يوسف</t>
  </si>
  <si>
    <t>تركية</t>
  </si>
  <si>
    <t>عماد شعبان</t>
  </si>
  <si>
    <t>تلزيق المنيوم</t>
  </si>
  <si>
    <t>تلوينة</t>
  </si>
  <si>
    <t>تفلون</t>
  </si>
  <si>
    <t>غطاء كرسي</t>
  </si>
  <si>
    <t>براغي</t>
  </si>
  <si>
    <t>مطابق</t>
  </si>
  <si>
    <t>طابة ايطالي</t>
  </si>
  <si>
    <t>زراعي</t>
  </si>
  <si>
    <t>لقط</t>
  </si>
  <si>
    <t>فاتورة</t>
  </si>
  <si>
    <t>مطابقة</t>
  </si>
  <si>
    <t>تنر</t>
  </si>
  <si>
    <t>سوناكس</t>
  </si>
  <si>
    <t>عدي</t>
  </si>
  <si>
    <t>نربيج غاز</t>
  </si>
  <si>
    <t>مصفاية</t>
  </si>
  <si>
    <t>طابة 1/2</t>
  </si>
  <si>
    <t>موتير</t>
  </si>
  <si>
    <t>ابو مهدي</t>
  </si>
  <si>
    <t>ابو هادي</t>
  </si>
  <si>
    <t>ايزي مع صباب</t>
  </si>
  <si>
    <t>ترابة سريعة</t>
  </si>
  <si>
    <t>انور ياسين</t>
  </si>
  <si>
    <t>رمل</t>
  </si>
  <si>
    <t>معمار</t>
  </si>
  <si>
    <t>احمد الموسى</t>
  </si>
  <si>
    <t>ابو عبدو</t>
  </si>
  <si>
    <t>ترابة بيضاء</t>
  </si>
  <si>
    <t>قطرون</t>
  </si>
  <si>
    <t>نص ليو</t>
  </si>
  <si>
    <t>طابة سوداء</t>
  </si>
  <si>
    <t>قلب</t>
  </si>
  <si>
    <t>نربيج ايطالي</t>
  </si>
  <si>
    <t>مفصلات</t>
  </si>
  <si>
    <t>وسام شقير</t>
  </si>
  <si>
    <t>سكر دوبل</t>
  </si>
  <si>
    <t>محمد الاسمر</t>
  </si>
  <si>
    <t>محمد الاحمد</t>
  </si>
  <si>
    <t>نربيج فيتاس</t>
  </si>
  <si>
    <t>برجس</t>
  </si>
  <si>
    <t>عنق</t>
  </si>
  <si>
    <t>الديري</t>
  </si>
  <si>
    <t>حنفية غسالة</t>
  </si>
  <si>
    <t>مطابق $ول.ل</t>
  </si>
  <si>
    <t>سبراي</t>
  </si>
  <si>
    <t>غطاء فينيسيا</t>
  </si>
  <si>
    <t>وجيه</t>
  </si>
  <si>
    <t>جوان حصر وايزي</t>
  </si>
  <si>
    <t>تلزيق بلاط وطني</t>
  </si>
  <si>
    <t>مسكة فيتاس</t>
  </si>
  <si>
    <t>خلاط دوش+سكر</t>
  </si>
  <si>
    <t>قطع وصل</t>
  </si>
  <si>
    <t>ورق حف</t>
  </si>
  <si>
    <t>علبة باتكس</t>
  </si>
  <si>
    <t>تطويلة غروهي</t>
  </si>
  <si>
    <t>نربيج غاز وحبسة</t>
  </si>
  <si>
    <t>احمد القيسي</t>
  </si>
  <si>
    <t>للحاج اشتراك</t>
  </si>
  <si>
    <t>بطاريات</t>
  </si>
  <si>
    <t>شبك ورباطات</t>
  </si>
  <si>
    <t>سيليكون شفاف</t>
  </si>
  <si>
    <t>عبد حمر ا</t>
  </si>
  <si>
    <t>حسن سعادة</t>
  </si>
  <si>
    <t>ديسك حديد2</t>
  </si>
  <si>
    <t>مصفايتين</t>
  </si>
  <si>
    <t>مفك</t>
  </si>
  <si>
    <t>رمل و ترابة</t>
  </si>
  <si>
    <t>مع ابراهيم</t>
  </si>
  <si>
    <t xml:space="preserve">تصليح دولاب </t>
  </si>
  <si>
    <t>فرشاية</t>
  </si>
  <si>
    <t>قازان 100 فيلوكس</t>
  </si>
  <si>
    <t>غطاء ريغار</t>
  </si>
  <si>
    <t>متر</t>
  </si>
  <si>
    <t>مبيع $</t>
  </si>
  <si>
    <t>مرتجع حجر</t>
  </si>
  <si>
    <t>باقي رمل</t>
  </si>
  <si>
    <t>قلبين ايطالي</t>
  </si>
  <si>
    <t>خرطوشة فلتر</t>
  </si>
  <si>
    <t>بلال مكداشي</t>
  </si>
  <si>
    <t>موتير غسالة ستانلس</t>
  </si>
  <si>
    <t>محمد الطير</t>
  </si>
  <si>
    <t>نواعم</t>
  </si>
  <si>
    <t>قازان غاز</t>
  </si>
  <si>
    <t>بيد م. علي</t>
  </si>
  <si>
    <t>العملية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</si>
  <si>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</si>
  <si>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</si>
  <si>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</si>
  <si>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</si>
  <si>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</si>
  <si>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</si>
  <si>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</si>
  <si>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بيع</t>
  </si>
  <si>
    <t>مصاريف</t>
  </si>
  <si>
    <t>سحب</t>
  </si>
  <si>
    <t>التاريخ</t>
  </si>
  <si>
    <t>مع الحاج</t>
  </si>
  <si>
    <t>مملوك</t>
  </si>
  <si>
    <t>ابو حسن صالح</t>
  </si>
  <si>
    <t>بنزين</t>
  </si>
  <si>
    <t>خلاط مجلى برم</t>
  </si>
  <si>
    <t>ابو هشام</t>
  </si>
  <si>
    <t>محمد فواز</t>
  </si>
  <si>
    <t>عزقة 8ملم</t>
  </si>
  <si>
    <t>كهرباء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</si>
  <si>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</si>
  <si>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</si>
  <si>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</si>
  <si>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</si>
  <si>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</si>
  <si>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</si>
  <si>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</si>
  <si>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اصبع بي يو</t>
  </si>
  <si>
    <t>احمد حلمي</t>
  </si>
  <si>
    <t>كيلو ترابة بيضاء</t>
  </si>
  <si>
    <t>عودة وقاروط</t>
  </si>
  <si>
    <t>طابة</t>
  </si>
  <si>
    <t>كبايات وكلينكس</t>
  </si>
  <si>
    <t>مسكة سجب</t>
  </si>
  <si>
    <t>موتير حصام ليو</t>
  </si>
  <si>
    <t>مفتاح</t>
  </si>
  <si>
    <t>احمد 3</t>
  </si>
  <si>
    <t>تلزيق ورق</t>
  </si>
  <si>
    <t>03-04</t>
  </si>
  <si>
    <t>مكنة لحام و تلحيم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</si>
  <si>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</si>
  <si>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</si>
  <si>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</si>
  <si>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</si>
  <si>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</si>
  <si>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</si>
  <si>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</si>
  <si>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</si>
  <si>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محمد قيسي</t>
  </si>
  <si>
    <t>حجر</t>
  </si>
  <si>
    <t>تلحيم 40</t>
  </si>
  <si>
    <t>زيت</t>
  </si>
  <si>
    <t>تلحيم</t>
  </si>
  <si>
    <t>محاسب الشركة</t>
  </si>
  <si>
    <t>سايبس</t>
  </si>
  <si>
    <t>واصف سنو</t>
  </si>
  <si>
    <t>حسين السيد</t>
  </si>
  <si>
    <t>حديد</t>
  </si>
  <si>
    <t>نحاته</t>
  </si>
  <si>
    <t>الفاتح</t>
  </si>
  <si>
    <t>بلاستيك</t>
  </si>
  <si>
    <t>سكر وشطافة</t>
  </si>
  <si>
    <t>كوع ذكر</t>
  </si>
  <si>
    <t>عنق مجلى</t>
  </si>
  <si>
    <t>مع ابراهيم 3m بيروت</t>
  </si>
  <si>
    <t>مستودع الناعمة 4</t>
  </si>
  <si>
    <t>مستودع الناعمة 5</t>
  </si>
  <si>
    <t>احمد عباس</t>
  </si>
  <si>
    <t>نربيج غسالة</t>
  </si>
  <si>
    <t>3m بيروت</t>
  </si>
  <si>
    <t>قلب طويل</t>
  </si>
  <si>
    <t>ايزي وجوان</t>
  </si>
  <si>
    <t>اصبع سيليكون</t>
  </si>
  <si>
    <t>محمود مملوك</t>
  </si>
  <si>
    <t>حديد وتلحيم</t>
  </si>
  <si>
    <t>جمال ابو حشمة</t>
  </si>
  <si>
    <t>فرق برميل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</si>
  <si>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</si>
  <si>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</si>
  <si>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</si>
  <si>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</si>
  <si>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</si>
  <si>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</si>
  <si>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مطابق$ول.ل</t>
  </si>
  <si>
    <t>الديري خلاط مجلى</t>
  </si>
  <si>
    <t>هادي عمار</t>
  </si>
  <si>
    <t>نسبة المصاريف</t>
  </si>
  <si>
    <t xml:space="preserve">يحي  - خلاط </t>
  </si>
  <si>
    <t>04-04</t>
  </si>
  <si>
    <t>06-04</t>
  </si>
  <si>
    <t>رواتب</t>
  </si>
  <si>
    <t>اتوماتيك</t>
  </si>
  <si>
    <t>ايزي وصباب ايطالي</t>
  </si>
  <si>
    <t>سليم بواب</t>
  </si>
  <si>
    <t>رياض</t>
  </si>
  <si>
    <t>مخالفة دوش</t>
  </si>
  <si>
    <t>ايزي وصباب</t>
  </si>
  <si>
    <t>وصل</t>
  </si>
  <si>
    <t>طابة جنب</t>
  </si>
  <si>
    <t>زريق</t>
  </si>
  <si>
    <t>مشحاف</t>
  </si>
  <si>
    <t>حنفي غسالة ايطالي</t>
  </si>
  <si>
    <t>الاحمد</t>
  </si>
  <si>
    <t>رصيد قديم من تاريخ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</si>
  <si>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</si>
  <si>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</si>
  <si>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</si>
  <si>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</si>
  <si>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</si>
  <si>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</si>
  <si>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</si>
  <si>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موتير غسالة وطابة</t>
  </si>
  <si>
    <t>جنب</t>
  </si>
  <si>
    <t>حسن سليمان</t>
  </si>
  <si>
    <t>تصليح موتسيك</t>
  </si>
  <si>
    <t>07-04</t>
  </si>
  <si>
    <t>اكرم ناصر</t>
  </si>
  <si>
    <t>تلزيق</t>
  </si>
  <si>
    <t>فؤاد زهر</t>
  </si>
  <si>
    <t>حديد+نربيج</t>
  </si>
  <si>
    <t>قلب ومسكة ايطالي 3</t>
  </si>
  <si>
    <t>قوى الامن</t>
  </si>
  <si>
    <t>بالخزنة</t>
  </si>
  <si>
    <t>مجراية</t>
  </si>
  <si>
    <t>كوع + تلزيق</t>
  </si>
  <si>
    <t>ابو موسى</t>
  </si>
  <si>
    <t>بلال</t>
  </si>
  <si>
    <t>لفة</t>
  </si>
  <si>
    <t>تلزيق بلاط وترابة</t>
  </si>
  <si>
    <t>جهاد الاغا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</si>
  <si>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</si>
  <si>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</si>
  <si>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</si>
  <si>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</si>
  <si>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</si>
  <si>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</si>
  <si>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قاعدة دوش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</si>
  <si>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</si>
  <si>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</si>
  <si>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</si>
  <si>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</si>
  <si>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</si>
  <si>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</si>
  <si>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</si>
  <si>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للحاج فواتير نقدية</t>
  </si>
  <si>
    <t>موتير ليو</t>
  </si>
  <si>
    <t>مع ابراهيم للصيفي</t>
  </si>
  <si>
    <t>08-04</t>
  </si>
  <si>
    <t>صرف</t>
  </si>
  <si>
    <t>جميل ترجمان</t>
  </si>
  <si>
    <t>نربيج خلاط</t>
  </si>
  <si>
    <t>غطاء ميوركس</t>
  </si>
  <si>
    <t>نحاتة</t>
  </si>
  <si>
    <t>خلاط واغراض</t>
  </si>
  <si>
    <t>اسافين</t>
  </si>
  <si>
    <t>من ابراهيم الصيفي</t>
  </si>
  <si>
    <t>خزان 2000</t>
  </si>
  <si>
    <t>محمد درويش</t>
  </si>
  <si>
    <t>اكسسوار</t>
  </si>
  <si>
    <t>ابو مراد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</si>
  <si>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</si>
  <si>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</si>
  <si>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</si>
  <si>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</si>
  <si>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</si>
  <si>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</si>
  <si>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</si>
  <si>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</si>
  <si>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</si>
  <si>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</si>
  <si>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</si>
  <si>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</si>
  <si>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</si>
  <si>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</si>
  <si>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</si>
  <si>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</si>
  <si>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</si>
  <si>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</si>
  <si>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</si>
  <si>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</si>
  <si>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</si>
  <si>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</si>
  <si>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</si>
  <si>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</si>
  <si>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</si>
  <si>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</si>
  <si>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خضر</t>
  </si>
  <si>
    <t>جوزة اف اف</t>
  </si>
  <si>
    <t>مرتجع احمد 3</t>
  </si>
  <si>
    <t>خزان واغراض</t>
  </si>
  <si>
    <t>عزق ورندال وتيج</t>
  </si>
  <si>
    <t>10-04</t>
  </si>
  <si>
    <t>غطايين ومجموعة شطافة</t>
  </si>
  <si>
    <t>سبراي صدا</t>
  </si>
  <si>
    <t>اندركود</t>
  </si>
  <si>
    <t>ريشة سهم</t>
  </si>
  <si>
    <t>ابو حسين</t>
  </si>
  <si>
    <t>جبر</t>
  </si>
  <si>
    <t>حبل</t>
  </si>
  <si>
    <t>عمر فحام</t>
  </si>
  <si>
    <t>ماء</t>
  </si>
  <si>
    <t>خالد ابو الدقن</t>
  </si>
  <si>
    <t>عماد الصالحاني</t>
  </si>
  <si>
    <t>فرق مسكة</t>
  </si>
  <si>
    <t>ماي</t>
  </si>
  <si>
    <t>زياد عبد اللطيف</t>
  </si>
  <si>
    <t>عبود</t>
  </si>
  <si>
    <t>غطاء سومو</t>
  </si>
  <si>
    <t>سيليوكن براغي</t>
  </si>
  <si>
    <t>حصر</t>
  </si>
  <si>
    <t>مغسلة</t>
  </si>
  <si>
    <t>ايوب</t>
  </si>
  <si>
    <t>صياي + ايزي</t>
  </si>
  <si>
    <t xml:space="preserve">خلاط </t>
  </si>
  <si>
    <t>فرع غسالة</t>
  </si>
  <si>
    <t>صباب 1/4 1</t>
  </si>
  <si>
    <t>قلب خلاط</t>
  </si>
  <si>
    <t>غراء</t>
  </si>
  <si>
    <t>طابة كهرباء</t>
  </si>
  <si>
    <t>للحاج بيد ابراهيم</t>
  </si>
  <si>
    <t>للحاج بيد حسام</t>
  </si>
  <si>
    <t>صباب مغسلة وسيليكون</t>
  </si>
  <si>
    <t>طابة وسيلكون</t>
  </si>
  <si>
    <t>فرق سدة</t>
  </si>
  <si>
    <t>محمد فواز باكس+ركورات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</si>
</sst>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_-"/>
    <numFmt numFmtId="165" formatCode="#,##0_ ;[Red]\-#,##0\ "/>
    <numFmt numFmtId="166" formatCode="#,##0\ [$ل.ل.‏-3001];[Red]\-#,##0\ [$ل.ل.‏-3001]"/>
    <numFmt numFmtId="169" formatCode="#,##0.0_ ;[Red]\-#,##0.0\ "/>
    <numFmt numFmtId="170" formatCode="dddd\-dd\-mmm\-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78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49">
    <xf numFmtId="0" fontId="0" fillId="0" borderId="0" xfId="0"/>
    <xf numFmtId="0" fontId="3" fillId="2" borderId="0" xfId="0" applyFont="1" applyFill="1"/>
    <xf numFmtId="0" fontId="3" fillId="0" borderId="0" xfId="0" applyFont="1"/>
    <xf numFmtId="164" fontId="3" fillId="2" borderId="0" xfId="1" applyNumberFormat="1" applyFont="1" applyFill="1"/>
    <xf numFmtId="164" fontId="3" fillId="0" borderId="0" xfId="0" applyNumberFormat="1" applyFont="1"/>
    <xf numFmtId="164" fontId="3" fillId="0" borderId="0" xfId="1" applyNumberFormat="1" applyFont="1"/>
    <xf numFmtId="165" fontId="3" fillId="0" borderId="0" xfId="0" applyNumberFormat="1" applyFont="1"/>
    <xf numFmtId="165" fontId="3" fillId="0" borderId="0" xfId="1" applyNumberFormat="1" applyFont="1"/>
    <xf numFmtId="6" fontId="3" fillId="0" borderId="0" xfId="0" applyNumberFormat="1" applyFont="1"/>
    <xf numFmtId="6" fontId="3" fillId="2" borderId="0" xfId="0" applyNumberFormat="1" applyFont="1" applyFill="1"/>
    <xf numFmtId="164" fontId="3" fillId="0" borderId="0" xfId="1" applyNumberFormat="1" applyFont="1" applyFill="1"/>
    <xf numFmtId="0" fontId="3" fillId="3" borderId="0" xfId="0" applyFont="1" applyFill="1"/>
    <xf numFmtId="164" fontId="3" fillId="4" borderId="0" xfId="1" applyNumberFormat="1" applyFont="1" applyFill="1"/>
    <xf numFmtId="166" fontId="3" fillId="0" borderId="0" xfId="1" applyNumberFormat="1" applyFont="1"/>
    <xf numFmtId="166" fontId="3" fillId="2" borderId="0" xfId="1" applyNumberFormat="1" applyFont="1" applyFill="1"/>
    <xf numFmtId="166" fontId="3" fillId="0" borderId="0" xfId="0" applyNumberFormat="1" applyFont="1"/>
    <xf numFmtId="6" fontId="3" fillId="3" borderId="0" xfId="1" applyNumberFormat="1" applyFont="1" applyFill="1"/>
    <xf numFmtId="6" fontId="3" fillId="2" borderId="0" xfId="1" applyNumberFormat="1" applyFont="1" applyFill="1"/>
    <xf numFmtId="166" fontId="3" fillId="4" borderId="0" xfId="1" applyNumberFormat="1" applyFont="1" applyFill="1"/>
    <xf numFmtId="166" fontId="3" fillId="2" borderId="0" xfId="0" applyNumberFormat="1" applyFont="1" applyFill="1"/>
    <xf numFmtId="8" fontId="3" fillId="0" borderId="0" xfId="0" applyNumberFormat="1" applyFont="1"/>
    <xf numFmtId="164" fontId="4" fillId="0" borderId="0" xfId="1" applyNumberFormat="1" applyFont="1" applyAlignment="1">
      <alignment horizontal="right"/>
    </xf>
    <xf numFmtId="164" fontId="4" fillId="2" borderId="0" xfId="1" applyNumberFormat="1" applyFont="1" applyFill="1" applyAlignment="1">
      <alignment horizontal="right"/>
    </xf>
    <xf numFmtId="164" fontId="4" fillId="0" borderId="0" xfId="0" applyNumberFormat="1" applyFont="1" applyAlignment="1">
      <alignment horizontal="right"/>
    </xf>
    <xf numFmtId="164" fontId="4" fillId="0" borderId="0" xfId="0" applyNumberFormat="1" applyFont="1" applyAlignment="1">
      <alignment horizontal="right" readingOrder="2"/>
    </xf>
    <xf numFmtId="164" fontId="4" fillId="0" borderId="0" xfId="0" applyNumberFormat="1" applyFont="1" applyAlignment="1">
      <alignment horizontal="right" wrapText="1"/>
    </xf>
    <xf numFmtId="169" fontId="3" fillId="0" borderId="0" xfId="0" applyNumberFormat="1" applyFont="1"/>
    <xf numFmtId="16" fontId="0" fillId="0" borderId="0" xfId="0" applyNumberFormat="1"/>
    <xf numFmtId="0" fontId="0" fillId="0" borderId="1" xfId="0" applyBorder="1"/>
    <xf numFmtId="165" fontId="0" fillId="0" borderId="1" xfId="1" applyNumberFormat="1" applyFont="1" applyBorder="1"/>
    <xf numFmtId="165" fontId="0" fillId="0" borderId="0" xfId="0" applyNumberFormat="1"/>
    <xf numFmtId="49" fontId="3" fillId="0" borderId="0" xfId="0" applyNumberFormat="1" applyFont="1"/>
    <xf numFmtId="166" fontId="3" fillId="0" borderId="2" xfId="1" applyNumberFormat="1" applyFont="1" applyBorder="1"/>
    <xf numFmtId="6" fontId="3" fillId="0" borderId="2" xfId="0" applyNumberFormat="1" applyFont="1" applyBorder="1"/>
    <xf numFmtId="166" fontId="3" fillId="5" borderId="2" xfId="1" applyNumberFormat="1" applyFont="1" applyFill="1" applyBorder="1"/>
    <xf numFmtId="6" fontId="3" fillId="5" borderId="2" xfId="0" applyNumberFormat="1" applyFont="1" applyFill="1" applyBorder="1"/>
    <xf numFmtId="166" fontId="3" fillId="0" borderId="0" xfId="1" applyNumberFormat="1" applyFont="1" applyFill="1" applyBorder="1"/>
    <xf numFmtId="10" fontId="0" fillId="0" borderId="1" xfId="1" applyNumberFormat="1" applyFont="1" applyBorder="1"/>
    <xf numFmtId="0" fontId="5" fillId="2" borderId="1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70" fontId="0" fillId="0" borderId="1" xfId="0" applyNumberFormat="1" applyBorder="1"/>
    <xf numFmtId="170" fontId="0" fillId="4" borderId="1" xfId="0" applyNumberFormat="1" applyFill="1" applyBorder="1"/>
    <xf numFmtId="165" fontId="0" fillId="4" borderId="1" xfId="1" applyNumberFormat="1" applyFont="1" applyFill="1" applyBorder="1"/>
    <xf numFmtId="10" fontId="0" fillId="4" borderId="1" xfId="1" applyNumberFormat="1" applyFont="1" applyFill="1" applyBorder="1"/>
    <xf numFmtId="0" fontId="0" fillId="4" borderId="1" xfId="0" applyFill="1" applyBorder="1"/>
    <xf numFmtId="166" fontId="3" fillId="0" borderId="0" xfId="1" applyNumberFormat="1" applyFont="1" applyFill="1"/>
    <xf numFmtId="6" fontId="3" fillId="0" borderId="0" xfId="1" applyNumberFormat="1" applyFont="1" applyFill="1"/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</cellXfs>
  <cellStyles count="4">
    <cellStyle name="Comma" xfId="1" builtinId="3"/>
    <cellStyle name="Comma 2" xfId="3" xr:uid="{D2E25BBC-688A-4B3C-B452-F04A86C82D65}"/>
    <cellStyle name="Normal" xfId="0" builtinId="0"/>
    <cellStyle name="Normal 2" xfId="2" xr:uid="{0120F64E-DC30-4A22-83F6-F9F65DB3FB48}"/>
  </cellStyles>
  <dxfs count="47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9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9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9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9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9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9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9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9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9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9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9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72F6D15-9494-4F4D-BF48-02DDBA2D33A4}" name="Table1345678101112131415161718192021222324" displayName="Table1345678101112131415161718192021222324" ref="I12:L352" totalsRowShown="0">
  <autoFilter ref="I12:L352" xr:uid="{162F446C-0357-47CE-8570-3E976F7BA518}"/>
  <tableColumns count="4">
    <tableColumn id="1" xr3:uid="{DC67B27D-BE9D-4F70-85C6-B35E0378FE5D}" name="البيان" dataDxfId="46" dataCellStyle="Comma"/>
    <tableColumn id="2" xr3:uid="{15788374-6F7C-4405-B98C-73A2DD3F6B16}" name="اللبناني" dataDxfId="45" dataCellStyle="Comma"/>
    <tableColumn id="3" xr3:uid="{AA98C7BF-3991-498E-A0E5-A62E7C274200}" name="الدولار" dataDxfId="44"/>
    <tableColumn id="4" xr3:uid="{5F7F0BD9-49E7-45D0-A129-2F5D5111FD0F}" name="مبيع $" dataDxfId="43">
      <calculatedColumnFormula>Table1345678101112131415161718192021222324[[#This Row],[الدولار]]+(Table1345678101112131415161718192021222324[[#This Row],[اللبناني]]/90)</calculatedColumnFormula>
    </tableColumn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69F1AE3-9B3B-4E10-88AA-49640DC16B35}" name="Table134567810111213141516171819202122232425" displayName="Table134567810111213141516171819202122232425" ref="I14:L354" totalsRowShown="0">
  <autoFilter ref="I14:L354" xr:uid="{162F446C-0357-47CE-8570-3E976F7BA518}"/>
  <tableColumns count="4">
    <tableColumn id="1" xr3:uid="{DC1E71C2-2E68-4FB2-83DC-A5FF33B3BD17}" name="البيان" dataDxfId="42" dataCellStyle="Comma"/>
    <tableColumn id="2" xr3:uid="{12DAAEFC-0A10-4736-8893-5D5DE082D113}" name="اللبناني" dataDxfId="41" dataCellStyle="Comma"/>
    <tableColumn id="3" xr3:uid="{3BC01A54-637D-466E-BFCB-BFE0A2CE4CBA}" name="الدولار" dataDxfId="40"/>
    <tableColumn id="4" xr3:uid="{E179DE72-9BF3-4716-BBA7-DC6D9CAD73ED}" name="مبيع $" dataDxfId="39">
      <calculatedColumnFormula>Table134567810111213141516171819202122232425[[#This Row],[الدولار]]+(Table134567810111213141516171819202122232425[[#This Row],[اللبناني]]/90)</calculatedColumnFormula>
    </tableColumn>
  </tableColumns>
  <tableStyleInfo name="TableStyleLight1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B511424-C79C-498E-88AA-8459E1E552AF}" name="Table13456781011121314151617181920212223242526" displayName="Table13456781011121314151617181920212223242526" ref="I14:L354" totalsRowShown="0">
  <autoFilter ref="I14:L354" xr:uid="{162F446C-0357-47CE-8570-3E976F7BA518}"/>
  <tableColumns count="4">
    <tableColumn id="1" xr3:uid="{A2008310-FABA-498A-AA35-87451E9C2CA1}" name="البيان" dataDxfId="38" dataCellStyle="Comma"/>
    <tableColumn id="2" xr3:uid="{8E11D384-1701-4ACB-A10E-54C4A2445635}" name="اللبناني" dataDxfId="37" dataCellStyle="Comma"/>
    <tableColumn id="3" xr3:uid="{2ADF4B18-9FA9-4DCE-B709-446A2B0C78F9}" name="الدولار" dataDxfId="36"/>
    <tableColumn id="4" xr3:uid="{A3318590-40A3-4FC2-83E9-E2905325EA72}" name="مبيع $" dataDxfId="35">
      <calculatedColumnFormula>Table13456781011121314151617181920212223242526[[#This Row],[الدولار]]+(Table13456781011121314151617181920212223242526[[#This Row],[اللبناني]]/90)</calculatedColumnFormula>
    </tableColumn>
  </tableColumns>
  <tableStyleInfo name="TableStyleLight1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BE74FBC-FD01-4D20-B44E-D3ADCCBBDFB3}" name="Table1345678101112131415161718192021222324252627" displayName="Table1345678101112131415161718192021222324252627" ref="I14:L354" totalsRowShown="0">
  <autoFilter ref="I14:L354" xr:uid="{162F446C-0357-47CE-8570-3E976F7BA518}"/>
  <tableColumns count="4">
    <tableColumn id="1" xr3:uid="{6726DD18-6A89-4ECC-9D85-E52076CD8F1E}" name="البيان" dataDxfId="34" dataCellStyle="Comma"/>
    <tableColumn id="2" xr3:uid="{E461FBD3-A042-4D28-B847-28D5F03978DF}" name="اللبناني" dataDxfId="33" dataCellStyle="Comma"/>
    <tableColumn id="3" xr3:uid="{9F2D54F4-BE2F-4C49-95AE-C4483070BA0B}" name="الدولار" dataDxfId="32"/>
    <tableColumn id="4" xr3:uid="{285E2C7A-B73B-4C22-A479-CAE77D6FAAAF}" name="مبيع $" dataDxfId="31">
      <calculatedColumnFormula>Table1345678101112131415161718192021222324252627[[#This Row],[الدولار]]+(Table1345678101112131415161718192021222324252627[[#This Row],[اللبناني]]/90)</calculatedColumnFormula>
    </tableColumn>
  </tableColumns>
  <tableStyleInfo name="TableStyleLight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A43AF239-2CD2-489B-9662-A49905D1C857}" name="Table134567810111213141516171819202122232425262729" displayName="Table134567810111213141516171819202122232425262729" ref="I14:L354" totalsRowShown="0">
  <autoFilter ref="I14:L354" xr:uid="{162F446C-0357-47CE-8570-3E976F7BA518}"/>
  <tableColumns count="4">
    <tableColumn id="1" xr3:uid="{99362571-1EB7-4E15-9BA6-8B5FB0A4045B}" name="البيان" dataDxfId="30" dataCellStyle="Comma"/>
    <tableColumn id="2" xr3:uid="{C0EF84E1-D48F-408F-BC75-AD88F4AC810B}" name="اللبناني" dataDxfId="29" dataCellStyle="Comma"/>
    <tableColumn id="3" xr3:uid="{5CBF08E3-3008-40C1-B0D4-441DA172189A}" name="الدولار" dataDxfId="28"/>
    <tableColumn id="4" xr3:uid="{A7B250B7-89A5-4301-949E-BAD352E7F883}" name="مبيع $" dataDxfId="27">
      <calculatedColumnFormula>Table134567810111213141516171819202122232425262729[[#This Row],[الدولار]]+(Table134567810111213141516171819202122232425262729[[#This Row],[اللبناني]]/90)</calculatedColumnFormula>
    </tableColumn>
  </tableColumns>
  <tableStyleInfo name="TableStyleLight1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5E949EC-A0DD-4FA7-948D-6F8A94B1C73F}" name="Table134567810111213141516171819202122232425262728" displayName="Table134567810111213141516171819202122232425262728" ref="I18:L358" totalsRowShown="0">
  <autoFilter ref="I18:L358" xr:uid="{162F446C-0357-47CE-8570-3E976F7BA518}"/>
  <tableColumns count="4">
    <tableColumn id="1" xr3:uid="{B2590AAD-50D8-45C7-89D1-17A680F4EADD}" name="البيان" dataDxfId="26" dataCellStyle="Comma"/>
    <tableColumn id="2" xr3:uid="{3E4B7AFC-4832-4251-AE53-6367FF62AEB3}" name="اللبناني" dataDxfId="25" dataCellStyle="Comma"/>
    <tableColumn id="3" xr3:uid="{BB90466A-2728-4E83-91A9-266AA15F4EA4}" name="الدولار" dataDxfId="24"/>
    <tableColumn id="4" xr3:uid="{9A6D1F4B-B2CC-4A79-98AA-24A388BE84BD}" name="مبيع $" dataDxfId="23">
      <calculatedColumnFormula>Table134567810111213141516171819202122232425262728[[#This Row],[الدولار]]+(Table134567810111213141516171819202122232425262728[[#This Row],[اللبناني]]/90)</calculatedColumnFormula>
    </tableColumn>
  </tableColumns>
  <tableStyleInfo name="TableStyleLight1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C4D00A7D-98D9-4045-8DF6-7CE730677D1B}" name="Table13456781011121314151617181920212223242526272830" displayName="Table13456781011121314151617181920212223242526272830" ref="I21:L361" totalsRowShown="0">
  <autoFilter ref="I21:L361" xr:uid="{162F446C-0357-47CE-8570-3E976F7BA518}"/>
  <tableColumns count="4">
    <tableColumn id="1" xr3:uid="{A7D94F22-0D24-4FC6-9529-C01F6F8FDDFB}" name="البيان" dataDxfId="22" dataCellStyle="Comma"/>
    <tableColumn id="2" xr3:uid="{47601CBA-AC25-4229-98AC-031D60D43C7F}" name="اللبناني" dataDxfId="21" dataCellStyle="Comma"/>
    <tableColumn id="3" xr3:uid="{61DDFDC9-F0FF-4F21-8D74-AD2B80F7E727}" name="الدولار" dataDxfId="20"/>
    <tableColumn id="4" xr3:uid="{146EEC34-97FC-442F-A149-06E3BF1484F2}" name="مبيع $" dataDxfId="19">
      <calculatedColumnFormula>Table13456781011121314151617181920212223242526272830[[#This Row],[الدولار]]+(Table13456781011121314151617181920212223242526272830[[#This Row],[اللبناني]]/90)</calculatedColumnFormula>
    </tableColumn>
  </tableColumns>
  <tableStyleInfo name="TableStyleLight1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765DB963-4E24-4927-8988-9527A5C05887}" name="Table1345678101112131415161718192021222324252627283031" displayName="Table1345678101112131415161718192021222324252627283031" ref="I21:L361" totalsRowShown="0">
  <autoFilter ref="I21:L361" xr:uid="{162F446C-0357-47CE-8570-3E976F7BA518}"/>
  <tableColumns count="4">
    <tableColumn id="1" xr3:uid="{4A6CC659-0932-42A5-802A-F3E221AF313E}" name="البيان" dataDxfId="18" dataCellStyle="Comma"/>
    <tableColumn id="2" xr3:uid="{E3FF5611-82A3-4B12-8CB4-F1B6E2C10B09}" name="اللبناني" dataDxfId="17" dataCellStyle="Comma"/>
    <tableColumn id="3" xr3:uid="{A481C835-AAEA-4A4B-8B1E-358D3F18DF87}" name="الدولار" dataDxfId="16"/>
    <tableColumn id="4" xr3:uid="{22824071-FD70-4085-857F-1A34638772BE}" name="مبيع $" dataDxfId="15">
      <calculatedColumnFormula>Table1345678101112131415161718192021222324252627283031[[#This Row],[الدولار]]+(Table1345678101112131415161718192021222324252627283031[[#This Row],[اللبناني]]/90)</calculatedColumnFormula>
    </tableColumn>
  </tableColumns>
  <tableStyleInfo name="TableStyleLight1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15E44458-830C-4D3E-8E8D-D7951C03B380}" name="Table134567810111213141516171819202122232425262728303132" displayName="Table134567810111213141516171819202122232425262728303132" ref="I21:L361" totalsRowShown="0">
  <autoFilter ref="I21:L361" xr:uid="{162F446C-0357-47CE-8570-3E976F7BA518}"/>
  <tableColumns count="4">
    <tableColumn id="1" xr3:uid="{446F2325-1B9E-4D6E-BD39-721884D20B14}" name="البيان" dataDxfId="14" dataCellStyle="Comma"/>
    <tableColumn id="2" xr3:uid="{ACC5BC0F-8E2C-4073-8986-D2185BD18810}" name="اللبناني" dataDxfId="13" dataCellStyle="Comma"/>
    <tableColumn id="3" xr3:uid="{C134D30D-B29C-4496-B06F-098E7994BD23}" name="الدولار" dataDxfId="12"/>
    <tableColumn id="4" xr3:uid="{A1E662D4-03FD-4018-9A91-75310DEC5029}" name="مبيع $" dataDxfId="11">
      <calculatedColumnFormula>Table134567810111213141516171819202122232425262728303132[[#This Row],[الدولار]]+(Table134567810111213141516171819202122232425262728303132[[#This Row],[اللبناني]]/90)</calculatedColumnFormula>
    </tableColumn>
  </tableColumns>
  <tableStyleInfo name="TableStyleLight1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F7758B4-CD64-4E86-891C-AA268F94AE53}" name="Table13456781011121314151617181920212223242526272830313233" displayName="Table13456781011121314151617181920212223242526272830313233" ref="I21:L361" totalsRowShown="0">
  <autoFilter ref="I21:L361" xr:uid="{162F446C-0357-47CE-8570-3E976F7BA518}"/>
  <tableColumns count="4">
    <tableColumn id="1" xr3:uid="{BAFF3644-3C19-46E9-B25E-E475A5FE24BE}" name="البيان" dataDxfId="10" dataCellStyle="Comma"/>
    <tableColumn id="2" xr3:uid="{29426DBC-8256-42A1-9033-10E9F4CD55FD}" name="اللبناني" dataDxfId="9" dataCellStyle="Comma"/>
    <tableColumn id="3" xr3:uid="{232C5C34-94FE-4922-B14C-31F91BFD8795}" name="الدولار" dataDxfId="8"/>
    <tableColumn id="4" xr3:uid="{4B1C12EC-5397-475B-8A27-D0393A09AE07}" name="مبيع $" dataDxfId="7">
      <calculatedColumnFormula>Table13456781011121314151617181920212223242526272830313233[[#This Row],[الدولار]]+(Table13456781011121314151617181920212223242526272830313233[[#This Row],[اللبناني]]/90)</calculatedColumnFormula>
    </tableColumn>
  </tableColumns>
  <tableStyleInfo name="TableStyleLight1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C0129E3-EF09-4EDB-BA8F-1E7B96E8E5CD}" name="Table1345678101112131415161718192021222324252627283031323334" displayName="Table1345678101112131415161718192021222324252627283031323334" ref="I21:L361" totalsRowShown="0">
  <autoFilter ref="I21:L361" xr:uid="{162F446C-0357-47CE-8570-3E976F7BA518}"/>
  <tableColumns count="4">
    <tableColumn id="1" xr3:uid="{E3361A1B-7350-4EB4-80CB-35BBE4B10D5E}" name="البيان" dataDxfId="3" dataCellStyle="Comma"/>
    <tableColumn id="2" xr3:uid="{0FE3E652-9767-4460-B793-60A4EFBC3AB8}" name="اللبناني" dataDxfId="2" dataCellStyle="Comma"/>
    <tableColumn id="3" xr3:uid="{4D8EBA3F-42FA-41ED-9A72-ACDC3F56D615}" name="الدولار" dataDxfId="1"/>
    <tableColumn id="4" xr3:uid="{543F1676-8998-4FA3-86B1-666353C98719}" name="مبيع $" dataDxfId="0">
      <calculatedColumnFormula>Table1345678101112131415161718192021222324252627283031323334[[#This Row],[الدولار]]+(Table1345678101112131415161718192021222324252627283031323334[[#This Row],[اللبناني]]/90)</calculatedColumnFormula>
    </tableColumn>
  </tableColumns>
  <tableStyleInfo name="TableStyleLight1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617BE-EBFA-4F80-943E-9702739B4537}">
  <sheetPr>
    <pageSetUpPr fitToPage="1"/>
  </sheetPr>
  <dimension ref="A1:S352"/>
  <sheetViews>
    <sheetView rightToLeft="1" topLeftCell="A16" zoomScale="115" zoomScaleNormal="115" workbookViewId="0">
      <selection activeCell="I91" sqref="I91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7.88671875" style="2" bestFit="1" customWidth="1"/>
    <col min="4" max="4" width="9.109375" style="2" bestFit="1" customWidth="1"/>
    <col min="5" max="5" width="5.109375" style="2" bestFit="1" customWidth="1"/>
    <col min="6" max="6" width="10.44140625" style="2" bestFit="1" customWidth="1"/>
    <col min="7" max="7" width="2.44140625" style="2" customWidth="1"/>
    <col min="8" max="8" width="7.5546875" style="2" bestFit="1" customWidth="1"/>
    <col min="9" max="9" width="14.109375" style="21" bestFit="1" customWidth="1"/>
    <col min="10" max="10" width="12.109375" style="7" bestFit="1" customWidth="1"/>
    <col min="11" max="11" width="8.5546875" style="8" bestFit="1" customWidth="1"/>
    <col min="12" max="12" width="8.5546875" style="8" customWidth="1"/>
    <col min="13" max="13" width="5.21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1.109375" style="2" bestFit="1" customWidth="1"/>
    <col min="20" max="16384" width="8.88671875" style="2"/>
  </cols>
  <sheetData>
    <row r="1" spans="1:19" x14ac:dyDescent="0.3">
      <c r="I1" s="21" t="s">
        <v>22</v>
      </c>
      <c r="J1" s="7">
        <f>SUM(J3:J11)</f>
        <v>340</v>
      </c>
      <c r="K1" s="7">
        <f>SUM(K3:K11)</f>
        <v>200</v>
      </c>
      <c r="L1" s="7">
        <f>SUM(L3:L11)</f>
        <v>203.77777777777777</v>
      </c>
    </row>
    <row r="2" spans="1:19" x14ac:dyDescent="0.3">
      <c r="H2" s="2" t="s">
        <v>136</v>
      </c>
      <c r="I2" s="22" t="s">
        <v>6</v>
      </c>
      <c r="J2" s="3" t="s">
        <v>5</v>
      </c>
      <c r="K2" s="9" t="s">
        <v>4</v>
      </c>
      <c r="L2" s="9" t="s">
        <v>125</v>
      </c>
    </row>
    <row r="3" spans="1:19" x14ac:dyDescent="0.3">
      <c r="H3" s="5" t="s">
        <v>144</v>
      </c>
      <c r="I3" s="23"/>
      <c r="J3" s="15">
        <v>400</v>
      </c>
      <c r="L3" s="26">
        <f t="shared" ref="L3:L11" si="0">K3+(J3/90)</f>
        <v>4.4444444444444446</v>
      </c>
    </row>
    <row r="4" spans="1:19" x14ac:dyDescent="0.3">
      <c r="H4" s="5" t="s">
        <v>144</v>
      </c>
      <c r="I4" s="23"/>
      <c r="J4" s="15">
        <v>300</v>
      </c>
      <c r="L4" s="26">
        <f t="shared" si="0"/>
        <v>3.3333333333333335</v>
      </c>
    </row>
    <row r="5" spans="1:19" x14ac:dyDescent="0.3">
      <c r="H5" s="5" t="s">
        <v>144</v>
      </c>
      <c r="I5" s="23"/>
      <c r="J5" s="15">
        <v>-360</v>
      </c>
      <c r="K5" s="8">
        <v>200</v>
      </c>
      <c r="L5" s="26">
        <f t="shared" si="0"/>
        <v>196</v>
      </c>
    </row>
    <row r="6" spans="1:19" x14ac:dyDescent="0.3">
      <c r="H6" s="5" t="s">
        <v>144</v>
      </c>
      <c r="I6" s="23"/>
      <c r="J6" s="15"/>
      <c r="L6" s="26">
        <f t="shared" si="0"/>
        <v>0</v>
      </c>
    </row>
    <row r="7" spans="1:19" x14ac:dyDescent="0.3">
      <c r="H7" s="5" t="s">
        <v>144</v>
      </c>
      <c r="I7" s="24"/>
      <c r="J7" s="15"/>
      <c r="L7" s="26">
        <f t="shared" si="0"/>
        <v>0</v>
      </c>
    </row>
    <row r="8" spans="1:19" x14ac:dyDescent="0.3">
      <c r="H8" s="5"/>
      <c r="I8" s="23"/>
      <c r="J8" s="15"/>
      <c r="L8" s="26">
        <f t="shared" si="0"/>
        <v>0</v>
      </c>
    </row>
    <row r="9" spans="1:19" x14ac:dyDescent="0.3">
      <c r="I9" s="23"/>
      <c r="J9" s="15"/>
      <c r="L9" s="26">
        <f t="shared" si="0"/>
        <v>0</v>
      </c>
    </row>
    <row r="10" spans="1:19" x14ac:dyDescent="0.3">
      <c r="I10" s="23"/>
      <c r="J10" s="15"/>
      <c r="L10" s="26">
        <f t="shared" si="0"/>
        <v>0</v>
      </c>
    </row>
    <row r="11" spans="1:19" x14ac:dyDescent="0.3">
      <c r="A11" s="48" t="s">
        <v>19</v>
      </c>
      <c r="B11" s="48"/>
      <c r="C11" s="48"/>
      <c r="D11" s="48"/>
      <c r="E11" s="48"/>
      <c r="F11" s="48"/>
      <c r="I11" s="23"/>
      <c r="J11" s="15"/>
      <c r="L11" s="26">
        <f t="shared" si="0"/>
        <v>0</v>
      </c>
      <c r="N11" s="48" t="s">
        <v>21</v>
      </c>
      <c r="O11" s="48"/>
      <c r="P11" s="48"/>
      <c r="Q11" s="48"/>
      <c r="R11" s="48"/>
      <c r="S11" s="48"/>
    </row>
    <row r="12" spans="1:19" x14ac:dyDescent="0.3">
      <c r="A12" s="1" t="s">
        <v>2</v>
      </c>
      <c r="B12" s="1" t="s">
        <v>0</v>
      </c>
      <c r="C12" s="1" t="s">
        <v>1</v>
      </c>
      <c r="D12" s="1" t="s">
        <v>3</v>
      </c>
      <c r="E12" s="1" t="s">
        <v>0</v>
      </c>
      <c r="F12" s="1" t="s">
        <v>1</v>
      </c>
      <c r="I12" s="22" t="s">
        <v>6</v>
      </c>
      <c r="J12" s="3" t="s">
        <v>5</v>
      </c>
      <c r="K12" s="9" t="s">
        <v>4</v>
      </c>
      <c r="L12" s="9" t="s">
        <v>125</v>
      </c>
      <c r="M12" s="4"/>
      <c r="N12" s="1" t="s">
        <v>2</v>
      </c>
      <c r="O12" s="1" t="s">
        <v>0</v>
      </c>
      <c r="P12" s="1" t="s">
        <v>1</v>
      </c>
      <c r="Q12" s="1" t="s">
        <v>3</v>
      </c>
      <c r="R12" s="1" t="s">
        <v>0</v>
      </c>
      <c r="S12" s="1" t="s">
        <v>1</v>
      </c>
    </row>
    <row r="13" spans="1:19" x14ac:dyDescent="0.3">
      <c r="A13" s="11">
        <v>1</v>
      </c>
      <c r="B13" s="2">
        <v>1</v>
      </c>
      <c r="C13" s="16">
        <f>A13*B13</f>
        <v>1</v>
      </c>
      <c r="D13" s="12">
        <v>5</v>
      </c>
      <c r="E13" s="2">
        <v>44</v>
      </c>
      <c r="F13" s="18">
        <f>D13*E13</f>
        <v>220</v>
      </c>
      <c r="G13" s="5"/>
      <c r="H13" s="5" t="s">
        <v>144</v>
      </c>
      <c r="I13" s="23" t="s">
        <v>96</v>
      </c>
      <c r="J13" s="15">
        <v>140</v>
      </c>
      <c r="L13" s="26">
        <f>Table1345678101112131415161718192021222324[[#This Row],[الدولار]]+(Table1345678101112131415161718192021222324[[#This Row],[اللبناني]]/90)</f>
        <v>1.5555555555555556</v>
      </c>
      <c r="N13" s="11">
        <v>1</v>
      </c>
      <c r="P13" s="16">
        <f>N13*O13</f>
        <v>0</v>
      </c>
      <c r="Q13" s="12">
        <v>5</v>
      </c>
      <c r="R13" s="2">
        <v>48</v>
      </c>
      <c r="S13" s="18">
        <f>Q13*R13</f>
        <v>240</v>
      </c>
    </row>
    <row r="14" spans="1:19" x14ac:dyDescent="0.3">
      <c r="A14" s="11">
        <v>5</v>
      </c>
      <c r="B14" s="2">
        <v>6</v>
      </c>
      <c r="C14" s="16">
        <f t="shared" ref="C14:C18" si="1">A14*B14</f>
        <v>30</v>
      </c>
      <c r="D14" s="12">
        <v>10</v>
      </c>
      <c r="E14" s="2">
        <v>28</v>
      </c>
      <c r="F14" s="18">
        <f t="shared" ref="F14:F17" si="2">D14*E14</f>
        <v>280</v>
      </c>
      <c r="G14" s="5"/>
      <c r="H14" s="5" t="s">
        <v>144</v>
      </c>
      <c r="I14" s="23" t="s">
        <v>97</v>
      </c>
      <c r="J14" s="15"/>
      <c r="K14" s="8">
        <v>10</v>
      </c>
      <c r="L14" s="26">
        <f>Table1345678101112131415161718192021222324[[#This Row],[الدولار]]+(Table1345678101112131415161718192021222324[[#This Row],[اللبناني]]/90)</f>
        <v>10</v>
      </c>
      <c r="N14" s="11">
        <v>5</v>
      </c>
      <c r="O14" s="2">
        <v>5</v>
      </c>
      <c r="P14" s="16">
        <f t="shared" ref="P14:P18" si="3">N14*O14</f>
        <v>25</v>
      </c>
      <c r="Q14" s="12">
        <v>10</v>
      </c>
      <c r="R14" s="2">
        <v>32</v>
      </c>
      <c r="S14" s="18">
        <f t="shared" ref="S14:S17" si="4">Q14*R14</f>
        <v>320</v>
      </c>
    </row>
    <row r="15" spans="1:19" x14ac:dyDescent="0.3">
      <c r="A15" s="11">
        <v>10</v>
      </c>
      <c r="B15" s="2">
        <v>59</v>
      </c>
      <c r="C15" s="16">
        <f t="shared" si="1"/>
        <v>590</v>
      </c>
      <c r="D15" s="12">
        <v>20</v>
      </c>
      <c r="E15" s="2">
        <v>14</v>
      </c>
      <c r="F15" s="18">
        <f t="shared" si="2"/>
        <v>280</v>
      </c>
      <c r="G15" s="5"/>
      <c r="H15" s="5" t="s">
        <v>144</v>
      </c>
      <c r="I15" s="23" t="s">
        <v>18</v>
      </c>
      <c r="J15" s="15">
        <v>-10</v>
      </c>
      <c r="L15" s="8">
        <f>Table1345678101112131415161718192021222324[[#This Row],[الدولار]]+(Table1345678101112131415161718192021222324[[#This Row],[اللبناني]]/90)</f>
        <v>-0.1111111111111111</v>
      </c>
      <c r="N15" s="11">
        <v>10</v>
      </c>
      <c r="O15" s="2">
        <v>61</v>
      </c>
      <c r="P15" s="16">
        <f t="shared" si="3"/>
        <v>610</v>
      </c>
      <c r="Q15" s="12">
        <v>20</v>
      </c>
      <c r="R15" s="2">
        <v>13</v>
      </c>
      <c r="S15" s="18">
        <f t="shared" si="4"/>
        <v>260</v>
      </c>
    </row>
    <row r="16" spans="1:19" x14ac:dyDescent="0.3">
      <c r="A16" s="11">
        <v>20</v>
      </c>
      <c r="B16" s="2">
        <v>5</v>
      </c>
      <c r="C16" s="16">
        <f t="shared" si="1"/>
        <v>100</v>
      </c>
      <c r="D16" s="12">
        <v>50</v>
      </c>
      <c r="F16" s="18">
        <f t="shared" si="2"/>
        <v>0</v>
      </c>
      <c r="G16" s="5"/>
      <c r="H16" s="5" t="s">
        <v>144</v>
      </c>
      <c r="I16" s="23" t="s">
        <v>26</v>
      </c>
      <c r="J16" s="15">
        <v>1080</v>
      </c>
      <c r="L16" s="8">
        <f>Table1345678101112131415161718192021222324[[#This Row],[الدولار]]+(Table1345678101112131415161718192021222324[[#This Row],[اللبناني]]/90)</f>
        <v>12</v>
      </c>
      <c r="N16" s="11">
        <v>20</v>
      </c>
      <c r="O16" s="2">
        <v>5</v>
      </c>
      <c r="P16" s="16">
        <f t="shared" si="3"/>
        <v>100</v>
      </c>
      <c r="Q16" s="12">
        <v>50</v>
      </c>
      <c r="S16" s="18">
        <f t="shared" si="4"/>
        <v>0</v>
      </c>
    </row>
    <row r="17" spans="1:19" x14ac:dyDescent="0.3">
      <c r="A17" s="11">
        <v>50</v>
      </c>
      <c r="C17" s="16">
        <f t="shared" si="1"/>
        <v>0</v>
      </c>
      <c r="D17" s="12">
        <v>100</v>
      </c>
      <c r="E17" s="2">
        <v>55</v>
      </c>
      <c r="F17" s="18">
        <f t="shared" si="2"/>
        <v>5500</v>
      </c>
      <c r="G17" s="5"/>
      <c r="H17" s="5" t="s">
        <v>144</v>
      </c>
      <c r="I17" s="24" t="s">
        <v>38</v>
      </c>
      <c r="J17" s="15">
        <v>-360</v>
      </c>
      <c r="K17" s="8">
        <v>85</v>
      </c>
      <c r="L17" s="8">
        <f>Table1345678101112131415161718192021222324[[#This Row],[الدولار]]+(Table1345678101112131415161718192021222324[[#This Row],[اللبناني]]/90)</f>
        <v>81</v>
      </c>
      <c r="N17" s="11">
        <v>50</v>
      </c>
      <c r="O17" s="2">
        <v>2</v>
      </c>
      <c r="P17" s="16">
        <f t="shared" si="3"/>
        <v>100</v>
      </c>
      <c r="Q17" s="12">
        <v>100</v>
      </c>
      <c r="R17" s="2">
        <v>37</v>
      </c>
      <c r="S17" s="18">
        <f t="shared" si="4"/>
        <v>3700</v>
      </c>
    </row>
    <row r="18" spans="1:19" x14ac:dyDescent="0.3">
      <c r="A18" s="11">
        <v>100</v>
      </c>
      <c r="B18" s="2">
        <v>3</v>
      </c>
      <c r="C18" s="16">
        <f t="shared" si="1"/>
        <v>300</v>
      </c>
      <c r="D18" s="1" t="s">
        <v>1</v>
      </c>
      <c r="E18" s="1"/>
      <c r="F18" s="14">
        <f>SUM(F13:F17)</f>
        <v>6280</v>
      </c>
      <c r="G18" s="5"/>
      <c r="H18" s="5" t="s">
        <v>144</v>
      </c>
      <c r="I18" s="23" t="s">
        <v>98</v>
      </c>
      <c r="J18" s="15">
        <v>-50</v>
      </c>
      <c r="L18" s="8">
        <f>Table1345678101112131415161718192021222324[[#This Row],[الدولار]]+(Table1345678101112131415161718192021222324[[#This Row],[اللبناني]]/90)</f>
        <v>-0.55555555555555558</v>
      </c>
      <c r="N18" s="11">
        <v>100</v>
      </c>
      <c r="O18" s="2">
        <v>4</v>
      </c>
      <c r="P18" s="16">
        <f t="shared" si="3"/>
        <v>400</v>
      </c>
      <c r="Q18" s="1" t="s">
        <v>1</v>
      </c>
      <c r="R18" s="1"/>
      <c r="S18" s="14">
        <f>SUM(S13:S17)</f>
        <v>4520</v>
      </c>
    </row>
    <row r="19" spans="1:19" x14ac:dyDescent="0.3">
      <c r="A19" s="1" t="s">
        <v>1</v>
      </c>
      <c r="B19" s="1"/>
      <c r="C19" s="17">
        <f>SUM(C13:C18)</f>
        <v>1021</v>
      </c>
      <c r="H19" s="2" t="s">
        <v>144</v>
      </c>
      <c r="I19" s="23" t="s">
        <v>99</v>
      </c>
      <c r="J19" s="15">
        <v>200</v>
      </c>
      <c r="L19" s="8">
        <f>Table1345678101112131415161718192021222324[[#This Row],[الدولار]]+(Table1345678101112131415161718192021222324[[#This Row],[اللبناني]]/90)</f>
        <v>2.2222222222222223</v>
      </c>
      <c r="N19" s="1" t="s">
        <v>1</v>
      </c>
      <c r="O19" s="1"/>
      <c r="P19" s="17">
        <f>SUM(P13:P18)</f>
        <v>1235</v>
      </c>
      <c r="S19" s="15"/>
    </row>
    <row r="20" spans="1:19" x14ac:dyDescent="0.3">
      <c r="H20" s="2" t="s">
        <v>144</v>
      </c>
      <c r="I20" s="23" t="s">
        <v>100</v>
      </c>
      <c r="J20" s="15">
        <v>100</v>
      </c>
      <c r="K20" s="8">
        <v>20</v>
      </c>
      <c r="L20" s="8">
        <f>Table1345678101112131415161718192021222324[[#This Row],[الدولار]]+(Table1345678101112131415161718192021222324[[#This Row],[اللبناني]]/90)</f>
        <v>21.111111111111111</v>
      </c>
      <c r="P20" s="20"/>
      <c r="Q20" s="47" t="s">
        <v>24</v>
      </c>
      <c r="R20" s="47"/>
      <c r="S20" s="19">
        <f>SUM(Table1345678101112131415161718192021222324[اللبناني])</f>
        <v>-3760</v>
      </c>
    </row>
    <row r="21" spans="1:19" x14ac:dyDescent="0.3">
      <c r="H21" s="2" t="s">
        <v>144</v>
      </c>
      <c r="I21" s="23" t="s">
        <v>101</v>
      </c>
      <c r="J21" s="15">
        <v>200</v>
      </c>
      <c r="L21" s="8">
        <f>Table1345678101112131415161718192021222324[[#This Row],[الدولار]]+(Table1345678101112131415161718192021222324[[#This Row],[اللبناني]]/90)</f>
        <v>2.2222222222222223</v>
      </c>
      <c r="N21" s="47" t="s">
        <v>23</v>
      </c>
      <c r="O21" s="47"/>
      <c r="P21" s="9">
        <f>SUM(Table1345678101112131415161718192021222324[الدولار])</f>
        <v>-370</v>
      </c>
      <c r="S21" s="15"/>
    </row>
    <row r="22" spans="1:19" x14ac:dyDescent="0.3">
      <c r="H22" s="2" t="s">
        <v>144</v>
      </c>
      <c r="I22" s="23" t="s">
        <v>102</v>
      </c>
      <c r="J22" s="15"/>
      <c r="K22" s="8">
        <v>25</v>
      </c>
      <c r="L22" s="8">
        <f>Table1345678101112131415161718192021222324[[#This Row],[الدولار]]+(Table1345678101112131415161718192021222324[[#This Row],[اللبناني]]/90)</f>
        <v>25</v>
      </c>
      <c r="P22" s="20"/>
      <c r="Q22" s="1" t="s">
        <v>17</v>
      </c>
      <c r="R22" s="1"/>
      <c r="S22" s="19">
        <f>S18-S20-F18</f>
        <v>2000</v>
      </c>
    </row>
    <row r="23" spans="1:19" x14ac:dyDescent="0.3">
      <c r="C23" s="10"/>
      <c r="D23" s="10"/>
      <c r="F23" s="10"/>
      <c r="H23" s="2" t="s">
        <v>144</v>
      </c>
      <c r="I23" s="23" t="s">
        <v>82</v>
      </c>
      <c r="J23" s="15">
        <v>-350</v>
      </c>
      <c r="K23" s="8">
        <v>5</v>
      </c>
      <c r="L23" s="8">
        <f>Table1345678101112131415161718192021222324[[#This Row],[الدولار]]+(Table1345678101112131415161718192021222324[[#This Row],[اللبناني]]/90)</f>
        <v>1.1111111111111112</v>
      </c>
      <c r="N23" s="1" t="s">
        <v>17</v>
      </c>
      <c r="O23" s="1"/>
      <c r="P23" s="9">
        <f>P19-P21-C19</f>
        <v>584</v>
      </c>
    </row>
    <row r="24" spans="1:19" x14ac:dyDescent="0.3">
      <c r="C24" s="10"/>
      <c r="D24" s="10"/>
      <c r="F24" s="10"/>
      <c r="H24" s="2" t="s">
        <v>144</v>
      </c>
      <c r="I24" s="25" t="s">
        <v>103</v>
      </c>
      <c r="J24" s="13"/>
      <c r="K24" s="8">
        <v>34</v>
      </c>
      <c r="L24" s="8">
        <f>Table1345678101112131415161718192021222324[[#This Row],[الدولار]]+(Table1345678101112131415161718192021222324[[#This Row],[اللبناني]]/90)</f>
        <v>34</v>
      </c>
    </row>
    <row r="25" spans="1:19" x14ac:dyDescent="0.3">
      <c r="C25" s="10"/>
      <c r="D25" s="10"/>
      <c r="F25" s="10"/>
      <c r="H25" s="2" t="s">
        <v>145</v>
      </c>
      <c r="I25" s="25" t="s">
        <v>31</v>
      </c>
      <c r="J25" s="13">
        <v>-300</v>
      </c>
      <c r="L25" s="8">
        <f>Table1345678101112131415161718192021222324[[#This Row],[الدولار]]+(Table1345678101112131415161718192021222324[[#This Row],[اللبناني]]/90)</f>
        <v>-3.3333333333333335</v>
      </c>
    </row>
    <row r="26" spans="1:19" x14ac:dyDescent="0.3">
      <c r="C26" s="10"/>
      <c r="D26" s="10"/>
      <c r="F26" s="10"/>
      <c r="H26" s="2" t="s">
        <v>144</v>
      </c>
      <c r="I26" s="23" t="s">
        <v>18</v>
      </c>
      <c r="J26" s="13">
        <v>-300</v>
      </c>
      <c r="K26" s="8">
        <v>5</v>
      </c>
      <c r="L26" s="8">
        <f>Table1345678101112131415161718192021222324[[#This Row],[الدولار]]+(Table1345678101112131415161718192021222324[[#This Row],[اللبناني]]/90)</f>
        <v>1.6666666666666665</v>
      </c>
    </row>
    <row r="27" spans="1:19" s="8" customFormat="1" x14ac:dyDescent="0.3">
      <c r="C27" s="10"/>
      <c r="D27" s="10"/>
      <c r="E27" s="2"/>
      <c r="F27" s="10"/>
      <c r="G27" s="2"/>
      <c r="H27" s="2" t="s">
        <v>144</v>
      </c>
      <c r="I27" s="25" t="s">
        <v>92</v>
      </c>
      <c r="J27" s="15">
        <v>350</v>
      </c>
      <c r="L27" s="8">
        <f>Table1345678101112131415161718192021222324[[#This Row],[الدولار]]+(Table1345678101112131415161718192021222324[[#This Row],[اللبناني]]/90)</f>
        <v>3.8888888888888888</v>
      </c>
      <c r="M27" s="6"/>
    </row>
    <row r="28" spans="1:19" s="8" customFormat="1" x14ac:dyDescent="0.3">
      <c r="C28" s="10"/>
      <c r="D28" s="2"/>
      <c r="E28" s="2"/>
      <c r="F28" s="10"/>
      <c r="G28" s="2"/>
      <c r="H28" s="2" t="s">
        <v>144</v>
      </c>
      <c r="I28" s="25" t="s">
        <v>27</v>
      </c>
      <c r="J28" s="15">
        <v>500</v>
      </c>
      <c r="L28" s="8">
        <f>Table1345678101112131415161718192021222324[[#This Row],[الدولار]]+(Table1345678101112131415161718192021222324[[#This Row],[اللبناني]]/90)</f>
        <v>5.5555555555555554</v>
      </c>
      <c r="M28" s="6"/>
    </row>
    <row r="29" spans="1:19" s="8" customFormat="1" x14ac:dyDescent="0.3">
      <c r="C29" s="10"/>
      <c r="D29" s="2"/>
      <c r="E29" s="2"/>
      <c r="F29" s="2"/>
      <c r="G29" s="2"/>
      <c r="H29" s="2" t="s">
        <v>144</v>
      </c>
      <c r="I29" s="25" t="s">
        <v>64</v>
      </c>
      <c r="J29" s="15">
        <v>-700</v>
      </c>
      <c r="K29" s="8">
        <v>10</v>
      </c>
      <c r="L29" s="8">
        <f>Table1345678101112131415161718192021222324[[#This Row],[الدولار]]+(Table1345678101112131415161718192021222324[[#This Row],[اللبناني]]/90)</f>
        <v>2.2222222222222223</v>
      </c>
      <c r="M29" s="6"/>
    </row>
    <row r="30" spans="1:19" s="8" customFormat="1" x14ac:dyDescent="0.3">
      <c r="C30" s="2"/>
      <c r="D30" s="2"/>
      <c r="E30" s="2"/>
      <c r="F30" s="6"/>
      <c r="G30" s="2"/>
      <c r="H30" s="2" t="s">
        <v>144</v>
      </c>
      <c r="I30" s="23" t="s">
        <v>104</v>
      </c>
      <c r="J30" s="15">
        <v>270</v>
      </c>
      <c r="L30" s="8">
        <f>Table1345678101112131415161718192021222324[[#This Row],[الدولار]]+(Table1345678101112131415161718192021222324[[#This Row],[اللبناني]]/90)</f>
        <v>3</v>
      </c>
      <c r="M30" s="6"/>
    </row>
    <row r="31" spans="1:19" s="8" customFormat="1" x14ac:dyDescent="0.3">
      <c r="C31" s="6"/>
      <c r="D31" s="2"/>
      <c r="E31" s="2"/>
      <c r="F31" s="2"/>
      <c r="G31" s="2"/>
      <c r="H31" s="2" t="s">
        <v>144</v>
      </c>
      <c r="I31" s="23" t="s">
        <v>105</v>
      </c>
      <c r="J31" s="15">
        <v>270</v>
      </c>
      <c r="L31" s="8">
        <f>Table1345678101112131415161718192021222324[[#This Row],[الدولار]]+(Table1345678101112131415161718192021222324[[#This Row],[اللبناني]]/90)</f>
        <v>3</v>
      </c>
      <c r="M31" s="6"/>
    </row>
    <row r="32" spans="1:19" s="8" customFormat="1" x14ac:dyDescent="0.3">
      <c r="C32" s="2"/>
      <c r="D32" s="2"/>
      <c r="E32" s="2"/>
      <c r="F32" s="6"/>
      <c r="G32" s="2"/>
      <c r="H32" s="2" t="s">
        <v>145</v>
      </c>
      <c r="I32" s="23" t="s">
        <v>42</v>
      </c>
      <c r="J32" s="15">
        <v>-300</v>
      </c>
      <c r="L32" s="8">
        <f>Table1345678101112131415161718192021222324[[#This Row],[الدولار]]+(Table1345678101112131415161718192021222324[[#This Row],[اللبناني]]/90)</f>
        <v>-3.3333333333333335</v>
      </c>
      <c r="M32" s="6"/>
    </row>
    <row r="33" spans="3:13" s="8" customFormat="1" x14ac:dyDescent="0.3">
      <c r="C33" s="6"/>
      <c r="D33" s="2"/>
      <c r="E33" s="2"/>
      <c r="F33" s="2"/>
      <c r="G33" s="2"/>
      <c r="H33" s="2" t="s">
        <v>144</v>
      </c>
      <c r="I33" s="23" t="s">
        <v>106</v>
      </c>
      <c r="J33" s="15">
        <v>-360</v>
      </c>
      <c r="K33" s="8">
        <v>10</v>
      </c>
      <c r="L33" s="8">
        <f>Table1345678101112131415161718192021222324[[#This Row],[الدولار]]+(Table1345678101112131415161718192021222324[[#This Row],[اللبناني]]/90)</f>
        <v>6</v>
      </c>
      <c r="M33" s="6"/>
    </row>
    <row r="34" spans="3:13" s="8" customFormat="1" x14ac:dyDescent="0.3">
      <c r="C34" s="2"/>
      <c r="D34" s="2"/>
      <c r="E34" s="2"/>
      <c r="F34" s="2"/>
      <c r="G34" s="2"/>
      <c r="H34" s="2" t="s">
        <v>144</v>
      </c>
      <c r="I34" s="23" t="s">
        <v>54</v>
      </c>
      <c r="J34" s="15">
        <v>70</v>
      </c>
      <c r="L34" s="8">
        <f>Table1345678101112131415161718192021222324[[#This Row],[الدولار]]+(Table1345678101112131415161718192021222324[[#This Row],[اللبناني]]/90)</f>
        <v>0.77777777777777779</v>
      </c>
      <c r="M34" s="6"/>
    </row>
    <row r="35" spans="3:13" s="8" customFormat="1" x14ac:dyDescent="0.3">
      <c r="C35" s="2"/>
      <c r="D35" s="2"/>
      <c r="E35" s="2"/>
      <c r="F35" s="2"/>
      <c r="G35" s="2"/>
      <c r="H35" s="2" t="s">
        <v>144</v>
      </c>
      <c r="I35" s="23" t="s">
        <v>107</v>
      </c>
      <c r="J35" s="15">
        <v>200</v>
      </c>
      <c r="L35" s="8">
        <f>Table1345678101112131415161718192021222324[[#This Row],[الدولار]]+(Table1345678101112131415161718192021222324[[#This Row],[اللبناني]]/90)</f>
        <v>2.2222222222222223</v>
      </c>
      <c r="M35" s="6"/>
    </row>
    <row r="36" spans="3:13" s="8" customFormat="1" x14ac:dyDescent="0.3">
      <c r="C36" s="2"/>
      <c r="D36" s="2"/>
      <c r="E36" s="2"/>
      <c r="F36" s="2"/>
      <c r="G36" s="2"/>
      <c r="H36" s="2" t="s">
        <v>144</v>
      </c>
      <c r="I36" s="23" t="s">
        <v>108</v>
      </c>
      <c r="J36" s="15">
        <v>45</v>
      </c>
      <c r="K36" s="8">
        <v>10</v>
      </c>
      <c r="L36" s="8">
        <f>Table1345678101112131415161718192021222324[[#This Row],[الدولار]]+(Table1345678101112131415161718192021222324[[#This Row],[اللبناني]]/90)</f>
        <v>10.5</v>
      </c>
      <c r="M36" s="6"/>
    </row>
    <row r="37" spans="3:13" s="8" customFormat="1" x14ac:dyDescent="0.3">
      <c r="C37" s="2"/>
      <c r="D37" s="2"/>
      <c r="E37" s="2"/>
      <c r="F37" s="2"/>
      <c r="G37" s="2"/>
      <c r="H37" s="2" t="s">
        <v>146</v>
      </c>
      <c r="I37" s="23" t="s">
        <v>109</v>
      </c>
      <c r="J37" s="13"/>
      <c r="K37" s="8">
        <v>-110</v>
      </c>
      <c r="L37" s="8">
        <f>Table1345678101112131415161718192021222324[[#This Row],[الدولار]]+(Table1345678101112131415161718192021222324[[#This Row],[اللبناني]]/90)</f>
        <v>-110</v>
      </c>
      <c r="M37" s="6"/>
    </row>
    <row r="38" spans="3:13" s="8" customFormat="1" x14ac:dyDescent="0.3">
      <c r="C38" s="2"/>
      <c r="D38" s="2"/>
      <c r="E38" s="2"/>
      <c r="F38" s="2"/>
      <c r="G38" s="2"/>
      <c r="H38" s="2" t="s">
        <v>144</v>
      </c>
      <c r="I38" s="21" t="s">
        <v>110</v>
      </c>
      <c r="J38" s="13"/>
      <c r="K38" s="8">
        <v>-55</v>
      </c>
      <c r="L38" s="8">
        <f>Table1345678101112131415161718192021222324[[#This Row],[الدولار]]+(Table1345678101112131415161718192021222324[[#This Row],[اللبناني]]/90)</f>
        <v>-55</v>
      </c>
      <c r="M38" s="6"/>
    </row>
    <row r="39" spans="3:13" s="8" customFormat="1" x14ac:dyDescent="0.3">
      <c r="C39" s="2"/>
      <c r="D39" s="2"/>
      <c r="E39" s="2"/>
      <c r="F39" s="2"/>
      <c r="G39" s="2"/>
      <c r="H39" s="2" t="s">
        <v>145</v>
      </c>
      <c r="I39" s="21" t="s">
        <v>8</v>
      </c>
      <c r="J39" s="13">
        <v>-2000</v>
      </c>
      <c r="L39" s="8">
        <f>Table1345678101112131415161718192021222324[[#This Row],[الدولار]]+(Table1345678101112131415161718192021222324[[#This Row],[اللبناني]]/90)</f>
        <v>-22.222222222222221</v>
      </c>
      <c r="M39" s="6"/>
    </row>
    <row r="40" spans="3:13" s="8" customFormat="1" x14ac:dyDescent="0.3">
      <c r="C40" s="2"/>
      <c r="D40" s="2"/>
      <c r="E40" s="2"/>
      <c r="F40" s="2"/>
      <c r="G40" s="2"/>
      <c r="H40" s="2" t="s">
        <v>144</v>
      </c>
      <c r="I40" s="21" t="s">
        <v>111</v>
      </c>
      <c r="J40" s="13">
        <v>100</v>
      </c>
      <c r="K40" s="8">
        <v>15</v>
      </c>
      <c r="L40" s="8">
        <f>Table1345678101112131415161718192021222324[[#This Row],[الدولار]]+(Table1345678101112131415161718192021222324[[#This Row],[اللبناني]]/90)</f>
        <v>16.111111111111111</v>
      </c>
      <c r="M40" s="6"/>
    </row>
    <row r="41" spans="3:13" s="8" customFormat="1" x14ac:dyDescent="0.3">
      <c r="C41" s="2"/>
      <c r="D41" s="2"/>
      <c r="E41" s="2"/>
      <c r="F41" s="2"/>
      <c r="G41" s="2"/>
      <c r="H41" s="2" t="s">
        <v>144</v>
      </c>
      <c r="I41" s="21" t="s">
        <v>112</v>
      </c>
      <c r="J41" s="13">
        <v>180</v>
      </c>
      <c r="L41" s="8">
        <f>Table1345678101112131415161718192021222324[[#This Row],[الدولار]]+(Table1345678101112131415161718192021222324[[#This Row],[اللبناني]]/90)</f>
        <v>2</v>
      </c>
      <c r="M41" s="6"/>
    </row>
    <row r="42" spans="3:13" s="8" customFormat="1" x14ac:dyDescent="0.3">
      <c r="C42" s="2"/>
      <c r="D42" s="2"/>
      <c r="E42" s="2"/>
      <c r="F42" s="2"/>
      <c r="G42" s="2"/>
      <c r="H42" s="2" t="s">
        <v>144</v>
      </c>
      <c r="I42" s="21" t="s">
        <v>32</v>
      </c>
      <c r="J42" s="13"/>
      <c r="K42" s="8">
        <v>10</v>
      </c>
      <c r="L42" s="8">
        <f>Table1345678101112131415161718192021222324[[#This Row],[الدولار]]+(Table1345678101112131415161718192021222324[[#This Row],[اللبناني]]/90)</f>
        <v>10</v>
      </c>
      <c r="M42" s="6"/>
    </row>
    <row r="43" spans="3:13" s="8" customFormat="1" x14ac:dyDescent="0.3">
      <c r="H43" s="8" t="s">
        <v>144</v>
      </c>
      <c r="I43" s="21" t="s">
        <v>113</v>
      </c>
      <c r="J43" s="13"/>
      <c r="K43" s="8">
        <v>59</v>
      </c>
      <c r="L43" s="8">
        <f>Table1345678101112131415161718192021222324[[#This Row],[الدولار]]+(Table1345678101112131415161718192021222324[[#This Row],[اللبناني]]/90)</f>
        <v>59</v>
      </c>
      <c r="M43" s="6"/>
    </row>
    <row r="44" spans="3:13" s="8" customFormat="1" x14ac:dyDescent="0.3">
      <c r="H44" s="8" t="s">
        <v>144</v>
      </c>
      <c r="I44" s="21" t="s">
        <v>114</v>
      </c>
      <c r="J44" s="13"/>
      <c r="K44" s="8">
        <v>10</v>
      </c>
      <c r="L44" s="8">
        <f>Table1345678101112131415161718192021222324[[#This Row],[الدولار]]+(Table1345678101112131415161718192021222324[[#This Row],[اللبناني]]/90)</f>
        <v>10</v>
      </c>
      <c r="M44" s="6"/>
    </row>
    <row r="45" spans="3:13" s="8" customFormat="1" x14ac:dyDescent="0.3">
      <c r="H45" s="8" t="s">
        <v>144</v>
      </c>
      <c r="I45" s="21" t="s">
        <v>115</v>
      </c>
      <c r="J45" s="13">
        <v>265</v>
      </c>
      <c r="L45" s="8">
        <f>Table1345678101112131415161718192021222324[[#This Row],[الدولار]]+(Table1345678101112131415161718192021222324[[#This Row],[اللبناني]]/90)</f>
        <v>2.9444444444444446</v>
      </c>
      <c r="M45" s="6"/>
    </row>
    <row r="46" spans="3:13" s="8" customFormat="1" x14ac:dyDescent="0.3">
      <c r="H46" s="8" t="s">
        <v>144</v>
      </c>
      <c r="I46" s="21" t="s">
        <v>43</v>
      </c>
      <c r="J46" s="13"/>
      <c r="K46" s="8">
        <v>50</v>
      </c>
      <c r="L46" s="8">
        <f>Table1345678101112131415161718192021222324[[#This Row],[الدولار]]+(Table1345678101112131415161718192021222324[[#This Row],[اللبناني]]/90)</f>
        <v>50</v>
      </c>
      <c r="M46" s="6"/>
    </row>
    <row r="47" spans="3:13" s="8" customFormat="1" x14ac:dyDescent="0.3">
      <c r="H47" s="8" t="s">
        <v>144</v>
      </c>
      <c r="I47" s="21" t="s">
        <v>116</v>
      </c>
      <c r="J47" s="13">
        <v>50</v>
      </c>
      <c r="K47" s="8">
        <v>10</v>
      </c>
      <c r="L47" s="8">
        <f>Table1345678101112131415161718192021222324[[#This Row],[الدولار]]+(Table1345678101112131415161718192021222324[[#This Row],[اللبناني]]/90)</f>
        <v>10.555555555555555</v>
      </c>
      <c r="M47" s="6"/>
    </row>
    <row r="48" spans="3:13" s="8" customFormat="1" x14ac:dyDescent="0.3">
      <c r="H48" s="8" t="s">
        <v>144</v>
      </c>
      <c r="I48" s="21" t="s">
        <v>117</v>
      </c>
      <c r="J48" s="13">
        <v>-350</v>
      </c>
      <c r="K48" s="8">
        <v>5</v>
      </c>
      <c r="L48" s="8">
        <f>Table1345678101112131415161718192021222324[[#This Row],[الدولار]]+(Table1345678101112131415161718192021222324[[#This Row],[اللبناني]]/90)</f>
        <v>1.1111111111111112</v>
      </c>
      <c r="M48" s="6"/>
    </row>
    <row r="49" spans="8:13" s="8" customFormat="1" x14ac:dyDescent="0.3">
      <c r="H49" s="8" t="s">
        <v>144</v>
      </c>
      <c r="I49" s="21" t="s">
        <v>118</v>
      </c>
      <c r="J49" s="13"/>
      <c r="K49" s="8">
        <v>10</v>
      </c>
      <c r="L49" s="8">
        <f>Table1345678101112131415161718192021222324[[#This Row],[الدولار]]+(Table1345678101112131415161718192021222324[[#This Row],[اللبناني]]/90)</f>
        <v>10</v>
      </c>
      <c r="M49" s="6"/>
    </row>
    <row r="50" spans="8:13" s="8" customFormat="1" x14ac:dyDescent="0.3">
      <c r="H50" s="8" t="s">
        <v>144</v>
      </c>
      <c r="I50" s="21" t="s">
        <v>119</v>
      </c>
      <c r="J50" s="13"/>
      <c r="K50" s="8">
        <v>-4</v>
      </c>
      <c r="L50" s="8">
        <f>Table1345678101112131415161718192021222324[[#This Row],[الدولار]]+(Table1345678101112131415161718192021222324[[#This Row],[اللبناني]]/90)</f>
        <v>-4</v>
      </c>
      <c r="M50" s="6"/>
    </row>
    <row r="51" spans="8:13" s="8" customFormat="1" x14ac:dyDescent="0.3">
      <c r="H51" s="8" t="s">
        <v>145</v>
      </c>
      <c r="I51" s="21" t="s">
        <v>120</v>
      </c>
      <c r="J51" s="13">
        <v>-500</v>
      </c>
      <c r="L51" s="8">
        <f>Table1345678101112131415161718192021222324[[#This Row],[الدولار]]+(Table1345678101112131415161718192021222324[[#This Row],[اللبناني]]/90)</f>
        <v>-5.5555555555555554</v>
      </c>
      <c r="M51" s="6"/>
    </row>
    <row r="52" spans="8:13" s="8" customFormat="1" x14ac:dyDescent="0.3">
      <c r="H52" s="8" t="s">
        <v>144</v>
      </c>
      <c r="I52" s="21" t="s">
        <v>62</v>
      </c>
      <c r="J52" s="13">
        <v>-200</v>
      </c>
      <c r="L52" s="8">
        <f>Table1345678101112131415161718192021222324[[#This Row],[الدولار]]+(Table1345678101112131415161718192021222324[[#This Row],[اللبناني]]/90)</f>
        <v>-2.2222222222222223</v>
      </c>
      <c r="M52" s="6"/>
    </row>
    <row r="53" spans="8:13" s="8" customFormat="1" x14ac:dyDescent="0.3">
      <c r="H53" s="8" t="s">
        <v>144</v>
      </c>
      <c r="I53" s="21"/>
      <c r="J53" s="13"/>
      <c r="K53" s="8">
        <v>11</v>
      </c>
      <c r="L53" s="8">
        <f>Table1345678101112131415161718192021222324[[#This Row],[الدولار]]+(Table1345678101112131415161718192021222324[[#This Row],[اللبناني]]/90)</f>
        <v>11</v>
      </c>
      <c r="M53" s="6"/>
    </row>
    <row r="54" spans="8:13" s="8" customFormat="1" x14ac:dyDescent="0.3">
      <c r="H54" s="8" t="s">
        <v>144</v>
      </c>
      <c r="I54" s="21"/>
      <c r="J54" s="13"/>
      <c r="K54" s="8">
        <v>5</v>
      </c>
      <c r="L54" s="8">
        <f>Table1345678101112131415161718192021222324[[#This Row],[الدولار]]+(Table1345678101112131415161718192021222324[[#This Row],[اللبناني]]/90)</f>
        <v>5</v>
      </c>
      <c r="M54" s="6"/>
    </row>
    <row r="55" spans="8:13" s="8" customFormat="1" x14ac:dyDescent="0.3">
      <c r="H55" s="8" t="s">
        <v>144</v>
      </c>
      <c r="I55" s="21"/>
      <c r="J55" s="13">
        <v>150</v>
      </c>
      <c r="L55" s="8">
        <f>Table1345678101112131415161718192021222324[[#This Row],[الدولار]]+(Table1345678101112131415161718192021222324[[#This Row],[اللبناني]]/90)</f>
        <v>1.6666666666666667</v>
      </c>
      <c r="M55" s="6"/>
    </row>
    <row r="56" spans="8:13" s="8" customFormat="1" x14ac:dyDescent="0.3">
      <c r="H56" s="8" t="s">
        <v>146</v>
      </c>
      <c r="I56" s="21"/>
      <c r="J56" s="13">
        <v>50</v>
      </c>
      <c r="L56" s="8">
        <f>Table1345678101112131415161718192021222324[[#This Row],[الدولار]]+(Table1345678101112131415161718192021222324[[#This Row],[اللبناني]]/90)</f>
        <v>0.55555555555555558</v>
      </c>
      <c r="M56" s="6"/>
    </row>
    <row r="57" spans="8:13" s="8" customFormat="1" x14ac:dyDescent="0.3">
      <c r="H57" s="8" t="s">
        <v>144</v>
      </c>
      <c r="I57" s="21"/>
      <c r="J57" s="13">
        <v>50</v>
      </c>
      <c r="L57" s="8">
        <f>Table1345678101112131415161718192021222324[[#This Row],[الدولار]]+(Table1345678101112131415161718192021222324[[#This Row],[اللبناني]]/90)</f>
        <v>0.55555555555555558</v>
      </c>
      <c r="M57" s="6"/>
    </row>
    <row r="58" spans="8:13" s="8" customFormat="1" x14ac:dyDescent="0.3">
      <c r="H58" s="8" t="s">
        <v>144</v>
      </c>
      <c r="I58" s="21"/>
      <c r="J58" s="13">
        <v>100</v>
      </c>
      <c r="L58" s="8">
        <f>Table1345678101112131415161718192021222324[[#This Row],[الدولار]]+(Table1345678101112131415161718192021222324[[#This Row],[اللبناني]]/90)</f>
        <v>1.1111111111111112</v>
      </c>
      <c r="M58" s="6"/>
    </row>
    <row r="59" spans="8:13" s="8" customFormat="1" x14ac:dyDescent="0.3">
      <c r="H59" s="8" t="s">
        <v>144</v>
      </c>
      <c r="I59" s="21"/>
      <c r="J59" s="13">
        <v>570</v>
      </c>
      <c r="L59" s="8">
        <f>Table1345678101112131415161718192021222324[[#This Row],[الدولار]]+(Table1345678101112131415161718192021222324[[#This Row],[اللبناني]]/90)</f>
        <v>6.333333333333333</v>
      </c>
      <c r="M59" s="6"/>
    </row>
    <row r="60" spans="8:13" s="8" customFormat="1" x14ac:dyDescent="0.3">
      <c r="H60" s="8" t="s">
        <v>144</v>
      </c>
      <c r="I60" s="21"/>
      <c r="J60" s="13"/>
      <c r="K60" s="8">
        <v>-5</v>
      </c>
      <c r="L60" s="8">
        <f>Table1345678101112131415161718192021222324[[#This Row],[الدولار]]+(Table1345678101112131415161718192021222324[[#This Row],[اللبناني]]/90)</f>
        <v>-5</v>
      </c>
      <c r="M60" s="6"/>
    </row>
    <row r="61" spans="8:13" s="8" customFormat="1" x14ac:dyDescent="0.3">
      <c r="H61" s="8" t="s">
        <v>146</v>
      </c>
      <c r="I61" s="21"/>
      <c r="J61" s="13"/>
      <c r="K61" s="8">
        <v>-15</v>
      </c>
      <c r="L61" s="8">
        <f>Table1345678101112131415161718192021222324[[#This Row],[الدولار]]+(Table1345678101112131415161718192021222324[[#This Row],[اللبناني]]/90)</f>
        <v>-15</v>
      </c>
      <c r="M61" s="6"/>
    </row>
    <row r="62" spans="8:13" s="8" customFormat="1" x14ac:dyDescent="0.3">
      <c r="H62" s="8" t="s">
        <v>144</v>
      </c>
      <c r="I62" s="21"/>
      <c r="J62" s="13"/>
      <c r="K62" s="8">
        <v>5</v>
      </c>
      <c r="L62" s="8">
        <f>Table1345678101112131415161718192021222324[[#This Row],[الدولار]]+(Table1345678101112131415161718192021222324[[#This Row],[اللبناني]]/90)</f>
        <v>5</v>
      </c>
      <c r="M62" s="6"/>
    </row>
    <row r="63" spans="8:13" s="8" customFormat="1" x14ac:dyDescent="0.3">
      <c r="H63" s="8" t="s">
        <v>144</v>
      </c>
      <c r="I63" s="21"/>
      <c r="J63" s="13">
        <v>-250</v>
      </c>
      <c r="L63" s="8">
        <f>Table1345678101112131415161718192021222324[[#This Row],[الدولار]]+(Table1345678101112131415161718192021222324[[#This Row],[اللبناني]]/90)</f>
        <v>-2.7777777777777777</v>
      </c>
      <c r="M63" s="6"/>
    </row>
    <row r="64" spans="8:13" s="8" customFormat="1" x14ac:dyDescent="0.3">
      <c r="H64" s="8" t="s">
        <v>144</v>
      </c>
      <c r="I64" s="21"/>
      <c r="J64" s="13">
        <v>100</v>
      </c>
      <c r="L64" s="8">
        <f>Table1345678101112131415161718192021222324[[#This Row],[الدولار]]+(Table1345678101112131415161718192021222324[[#This Row],[اللبناني]]/90)</f>
        <v>1.1111111111111112</v>
      </c>
      <c r="M64" s="6"/>
    </row>
    <row r="65" spans="8:13" s="8" customFormat="1" x14ac:dyDescent="0.3">
      <c r="H65" s="8" t="s">
        <v>144</v>
      </c>
      <c r="I65" s="21"/>
      <c r="J65" s="13"/>
      <c r="K65" s="8">
        <v>20</v>
      </c>
      <c r="L65" s="8">
        <f>Table1345678101112131415161718192021222324[[#This Row],[الدولار]]+(Table1345678101112131415161718192021222324[[#This Row],[اللبناني]]/90)</f>
        <v>20</v>
      </c>
      <c r="M65" s="6"/>
    </row>
    <row r="66" spans="8:13" s="8" customFormat="1" x14ac:dyDescent="0.3">
      <c r="H66" s="8" t="s">
        <v>144</v>
      </c>
      <c r="I66" s="21"/>
      <c r="J66" s="13"/>
      <c r="K66" s="8">
        <v>90</v>
      </c>
      <c r="L66" s="8">
        <f>Table1345678101112131415161718192021222324[[#This Row],[الدولار]]+(Table1345678101112131415161718192021222324[[#This Row],[اللبناني]]/90)</f>
        <v>90</v>
      </c>
      <c r="M66" s="6"/>
    </row>
    <row r="67" spans="8:13" s="8" customFormat="1" x14ac:dyDescent="0.3">
      <c r="H67" s="8" t="s">
        <v>144</v>
      </c>
      <c r="I67" s="21"/>
      <c r="J67" s="13">
        <v>850</v>
      </c>
      <c r="L67" s="8">
        <f>Table1345678101112131415161718192021222324[[#This Row],[الدولار]]+(Table1345678101112131415161718192021222324[[#This Row],[اللبناني]]/90)</f>
        <v>9.4444444444444446</v>
      </c>
      <c r="M67" s="6"/>
    </row>
    <row r="68" spans="8:13" s="8" customFormat="1" x14ac:dyDescent="0.3">
      <c r="H68" s="8" t="s">
        <v>144</v>
      </c>
      <c r="I68" s="21"/>
      <c r="J68" s="13">
        <v>-100</v>
      </c>
      <c r="K68" s="8">
        <v>10</v>
      </c>
      <c r="L68" s="8">
        <f>Table1345678101112131415161718192021222324[[#This Row],[الدولار]]+(Table1345678101112131415161718192021222324[[#This Row],[اللبناني]]/90)</f>
        <v>8.8888888888888893</v>
      </c>
      <c r="M68" s="6"/>
    </row>
    <row r="69" spans="8:13" s="8" customFormat="1" x14ac:dyDescent="0.3">
      <c r="H69" s="8" t="s">
        <v>144</v>
      </c>
      <c r="I69" s="21"/>
      <c r="J69" s="13">
        <v>-135</v>
      </c>
      <c r="K69" s="8">
        <v>5</v>
      </c>
      <c r="L69" s="8">
        <f>Table1345678101112131415161718192021222324[[#This Row],[الدولار]]+(Table1345678101112131415161718192021222324[[#This Row],[اللبناني]]/90)</f>
        <v>3.5</v>
      </c>
      <c r="M69" s="6"/>
    </row>
    <row r="70" spans="8:13" s="8" customFormat="1" x14ac:dyDescent="0.3">
      <c r="H70" s="8" t="s">
        <v>144</v>
      </c>
      <c r="I70" s="21"/>
      <c r="J70" s="13">
        <v>-270</v>
      </c>
      <c r="K70" s="8">
        <v>20</v>
      </c>
      <c r="L70" s="8">
        <f>Table1345678101112131415161718192021222324[[#This Row],[الدولار]]+(Table1345678101112131415161718192021222324[[#This Row],[اللبناني]]/90)</f>
        <v>17</v>
      </c>
      <c r="M70" s="6"/>
    </row>
    <row r="71" spans="8:13" s="8" customFormat="1" x14ac:dyDescent="0.3">
      <c r="H71" s="8" t="s">
        <v>144</v>
      </c>
      <c r="I71" s="21"/>
      <c r="J71" s="13"/>
      <c r="K71" s="8">
        <v>100</v>
      </c>
      <c r="L71" s="8">
        <f>Table1345678101112131415161718192021222324[[#This Row],[الدولار]]+(Table1345678101112131415161718192021222324[[#This Row],[اللبناني]]/90)</f>
        <v>100</v>
      </c>
      <c r="M71" s="6"/>
    </row>
    <row r="72" spans="8:13" s="8" customFormat="1" x14ac:dyDescent="0.3">
      <c r="H72" s="8" t="s">
        <v>144</v>
      </c>
      <c r="I72" s="21"/>
      <c r="J72" s="13">
        <v>200</v>
      </c>
      <c r="L72" s="8">
        <f>Table1345678101112131415161718192021222324[[#This Row],[الدولار]]+(Table1345678101112131415161718192021222324[[#This Row],[اللبناني]]/90)</f>
        <v>2.2222222222222223</v>
      </c>
      <c r="M72" s="6"/>
    </row>
    <row r="73" spans="8:13" s="8" customFormat="1" x14ac:dyDescent="0.3">
      <c r="H73" s="8" t="s">
        <v>144</v>
      </c>
      <c r="I73" s="21"/>
      <c r="J73" s="13"/>
      <c r="K73" s="8">
        <v>-15</v>
      </c>
      <c r="L73" s="8">
        <f>Table1345678101112131415161718192021222324[[#This Row],[الدولار]]+(Table1345678101112131415161718192021222324[[#This Row],[اللبناني]]/90)</f>
        <v>-15</v>
      </c>
      <c r="M73" s="6"/>
    </row>
    <row r="74" spans="8:13" s="8" customFormat="1" x14ac:dyDescent="0.3">
      <c r="H74" s="8" t="s">
        <v>144</v>
      </c>
      <c r="I74" s="21"/>
      <c r="J74" s="13">
        <v>130</v>
      </c>
      <c r="L74" s="8">
        <f>Table1345678101112131415161718192021222324[[#This Row],[الدولار]]+(Table1345678101112131415161718192021222324[[#This Row],[اللبناني]]/90)</f>
        <v>1.4444444444444444</v>
      </c>
      <c r="M74" s="6"/>
    </row>
    <row r="75" spans="8:13" s="8" customFormat="1" x14ac:dyDescent="0.3">
      <c r="H75" s="8" t="s">
        <v>144</v>
      </c>
      <c r="I75" s="21"/>
      <c r="J75" s="13">
        <v>150</v>
      </c>
      <c r="L75" s="8">
        <f>Table1345678101112131415161718192021222324[[#This Row],[الدولار]]+(Table1345678101112131415161718192021222324[[#This Row],[اللبناني]]/90)</f>
        <v>1.6666666666666667</v>
      </c>
      <c r="M75" s="6"/>
    </row>
    <row r="76" spans="8:13" s="8" customFormat="1" x14ac:dyDescent="0.3">
      <c r="H76" s="8" t="s">
        <v>144</v>
      </c>
      <c r="I76" s="21"/>
      <c r="J76" s="13">
        <v>800</v>
      </c>
      <c r="L76" s="8">
        <f>Table1345678101112131415161718192021222324[[#This Row],[الدولار]]+(Table1345678101112131415161718192021222324[[#This Row],[اللبناني]]/90)</f>
        <v>8.8888888888888893</v>
      </c>
      <c r="M76" s="6"/>
    </row>
    <row r="77" spans="8:13" s="8" customFormat="1" x14ac:dyDescent="0.3">
      <c r="H77" s="8" t="s">
        <v>144</v>
      </c>
      <c r="I77" s="21"/>
      <c r="J77" s="13"/>
      <c r="K77" s="8">
        <v>35</v>
      </c>
      <c r="L77" s="8">
        <f>Table1345678101112131415161718192021222324[[#This Row],[الدولار]]+(Table1345678101112131415161718192021222324[[#This Row],[اللبناني]]/90)</f>
        <v>35</v>
      </c>
      <c r="M77" s="6"/>
    </row>
    <row r="78" spans="8:13" s="8" customFormat="1" x14ac:dyDescent="0.3">
      <c r="H78" s="8" t="s">
        <v>144</v>
      </c>
      <c r="I78" s="21"/>
      <c r="J78" s="13">
        <v>-170</v>
      </c>
      <c r="L78" s="8">
        <f>Table1345678101112131415161718192021222324[[#This Row],[الدولار]]+(Table1345678101112131415161718192021222324[[#This Row],[اللبناني]]/90)</f>
        <v>-1.8888888888888888</v>
      </c>
      <c r="M78" s="6"/>
    </row>
    <row r="79" spans="8:13" s="8" customFormat="1" x14ac:dyDescent="0.3">
      <c r="H79" s="8" t="s">
        <v>146</v>
      </c>
      <c r="I79" s="21"/>
      <c r="J79" s="13"/>
      <c r="K79" s="8">
        <v>5</v>
      </c>
      <c r="L79" s="8">
        <f>Table1345678101112131415161718192021222324[[#This Row],[الدولار]]+(Table1345678101112131415161718192021222324[[#This Row],[اللبناني]]/90)</f>
        <v>5</v>
      </c>
      <c r="M79" s="6"/>
    </row>
    <row r="80" spans="8:13" s="8" customFormat="1" x14ac:dyDescent="0.3">
      <c r="H80" s="8" t="s">
        <v>144</v>
      </c>
      <c r="I80" s="21"/>
      <c r="J80" s="13"/>
      <c r="K80" s="8">
        <v>-25</v>
      </c>
      <c r="L80" s="8">
        <f>Table1345678101112131415161718192021222324[[#This Row],[الدولار]]+(Table1345678101112131415161718192021222324[[#This Row],[اللبناني]]/90)</f>
        <v>-25</v>
      </c>
      <c r="M80" s="6"/>
    </row>
    <row r="81" spans="8:13" s="8" customFormat="1" x14ac:dyDescent="0.3">
      <c r="H81" s="8" t="s">
        <v>144</v>
      </c>
      <c r="I81" s="21"/>
      <c r="J81" s="13"/>
      <c r="K81" s="8">
        <v>5</v>
      </c>
      <c r="L81" s="8">
        <f>Table1345678101112131415161718192021222324[[#This Row],[الدولار]]+(Table1345678101112131415161718192021222324[[#This Row],[اللبناني]]/90)</f>
        <v>5</v>
      </c>
      <c r="M81" s="6"/>
    </row>
    <row r="82" spans="8:13" s="8" customFormat="1" x14ac:dyDescent="0.3">
      <c r="H82" s="8" t="s">
        <v>144</v>
      </c>
      <c r="I82" s="21"/>
      <c r="J82" s="13">
        <v>-225</v>
      </c>
      <c r="L82" s="8">
        <f>Table1345678101112131415161718192021222324[[#This Row],[الدولار]]+(Table1345678101112131415161718192021222324[[#This Row],[اللبناني]]/90)</f>
        <v>-2.5</v>
      </c>
      <c r="M82" s="6"/>
    </row>
    <row r="83" spans="8:13" s="8" customFormat="1" x14ac:dyDescent="0.3">
      <c r="H83" s="8" t="s">
        <v>146</v>
      </c>
      <c r="I83" s="21"/>
      <c r="J83" s="13"/>
      <c r="K83" s="8">
        <v>-800</v>
      </c>
      <c r="L83" s="8">
        <f>Table1345678101112131415161718192021222324[[#This Row],[الدولار]]+(Table1345678101112131415161718192021222324[[#This Row],[اللبناني]]/90)</f>
        <v>-800</v>
      </c>
      <c r="M83" s="6"/>
    </row>
    <row r="84" spans="8:13" s="8" customFormat="1" x14ac:dyDescent="0.3">
      <c r="H84" s="8" t="s">
        <v>144</v>
      </c>
      <c r="I84" s="21"/>
      <c r="J84" s="13"/>
      <c r="K84" s="8">
        <v>5</v>
      </c>
      <c r="L84" s="8">
        <f>Table1345678101112131415161718192021222324[[#This Row],[الدولار]]+(Table1345678101112131415161718192021222324[[#This Row],[اللبناني]]/90)</f>
        <v>5</v>
      </c>
      <c r="M84" s="6"/>
    </row>
    <row r="85" spans="8:13" s="8" customFormat="1" x14ac:dyDescent="0.3">
      <c r="H85" s="8" t="s">
        <v>144</v>
      </c>
      <c r="I85" s="21"/>
      <c r="J85" s="13"/>
      <c r="K85" s="8">
        <v>-40</v>
      </c>
      <c r="L85" s="8">
        <f>Table1345678101112131415161718192021222324[[#This Row],[الدولار]]+(Table1345678101112131415161718192021222324[[#This Row],[اللبناني]]/90)</f>
        <v>-40</v>
      </c>
      <c r="M85" s="6"/>
    </row>
    <row r="86" spans="8:13" s="8" customFormat="1" x14ac:dyDescent="0.3">
      <c r="H86" s="8" t="s">
        <v>146</v>
      </c>
      <c r="I86" s="21"/>
      <c r="J86" s="13">
        <v>-4000</v>
      </c>
      <c r="L86" s="8">
        <f>Table1345678101112131415161718192021222324[[#This Row],[الدولار]]+(Table1345678101112131415161718192021222324[[#This Row],[اللبناني]]/90)</f>
        <v>-44.444444444444443</v>
      </c>
      <c r="M86" s="6"/>
    </row>
    <row r="87" spans="8:13" s="8" customFormat="1" x14ac:dyDescent="0.3">
      <c r="H87" s="8" t="s">
        <v>146</v>
      </c>
      <c r="I87" s="21" t="s">
        <v>13</v>
      </c>
      <c r="J87" s="13"/>
      <c r="K87" s="8">
        <v>250</v>
      </c>
      <c r="L87" s="8">
        <f>Table1345678101112131415161718192021222324[[#This Row],[الدولار]]+(Table1345678101112131415161718192021222324[[#This Row],[اللبناني]]/90)</f>
        <v>250</v>
      </c>
      <c r="M87" s="6"/>
    </row>
    <row r="88" spans="8:13" s="8" customFormat="1" x14ac:dyDescent="0.3">
      <c r="H88" s="8" t="s">
        <v>145</v>
      </c>
      <c r="I88" s="21" t="s">
        <v>156</v>
      </c>
      <c r="J88" s="13"/>
      <c r="K88" s="8">
        <v>-250</v>
      </c>
      <c r="L88" s="8">
        <f>Table1345678101112131415161718192021222324[[#This Row],[الدولار]]+(Table1345678101112131415161718192021222324[[#This Row],[اللبناني]]/90)</f>
        <v>-250</v>
      </c>
      <c r="M88" s="6"/>
    </row>
    <row r="89" spans="8:13" s="8" customFormat="1" x14ac:dyDescent="0.3">
      <c r="H89" s="8" t="s">
        <v>145</v>
      </c>
      <c r="I89" s="21" t="s">
        <v>202</v>
      </c>
      <c r="J89" s="13"/>
      <c r="K89" s="8">
        <v>-600</v>
      </c>
      <c r="L89" s="8">
        <f>Table1345678101112131415161718192021222324[[#This Row],[الدولار]]+(Table1345678101112131415161718192021222324[[#This Row],[اللبناني]]/90)</f>
        <v>-600</v>
      </c>
      <c r="M89" s="6"/>
    </row>
    <row r="90" spans="8:13" s="8" customFormat="1" x14ac:dyDescent="0.3">
      <c r="I90" s="21" t="s">
        <v>13</v>
      </c>
      <c r="J90" s="13"/>
      <c r="K90" s="8">
        <v>600</v>
      </c>
      <c r="L90" s="8">
        <f>Table1345678101112131415161718192021222324[[#This Row],[الدولار]]+(Table1345678101112131415161718192021222324[[#This Row],[اللبناني]]/90)</f>
        <v>600</v>
      </c>
      <c r="M90" s="6"/>
    </row>
    <row r="91" spans="8:13" s="8" customFormat="1" x14ac:dyDescent="0.3">
      <c r="H91" s="8" t="s">
        <v>145</v>
      </c>
      <c r="I91" s="21" t="s">
        <v>203</v>
      </c>
      <c r="J91" s="13"/>
      <c r="K91" s="8">
        <v>-600</v>
      </c>
      <c r="L91" s="8">
        <f>Table1345678101112131415161718192021222324[[#This Row],[الدولار]]+(Table1345678101112131415161718192021222324[[#This Row],[اللبناني]]/90)</f>
        <v>-600</v>
      </c>
      <c r="M91" s="6"/>
    </row>
    <row r="92" spans="8:13" s="8" customFormat="1" x14ac:dyDescent="0.3">
      <c r="I92" s="21" t="s">
        <v>13</v>
      </c>
      <c r="J92" s="13"/>
      <c r="K92" s="8">
        <v>600</v>
      </c>
      <c r="L92" s="8">
        <f>Table1345678101112131415161718192021222324[[#This Row],[الدولار]]+(Table1345678101112131415161718192021222324[[#This Row],[اللبناني]]/90)</f>
        <v>600</v>
      </c>
      <c r="M92" s="6"/>
    </row>
    <row r="93" spans="8:13" s="8" customFormat="1" x14ac:dyDescent="0.3">
      <c r="I93" s="21"/>
      <c r="J93" s="13"/>
      <c r="L93" s="8">
        <f>Table1345678101112131415161718192021222324[[#This Row],[الدولار]]+(Table1345678101112131415161718192021222324[[#This Row],[اللبناني]]/90)</f>
        <v>0</v>
      </c>
      <c r="M93" s="6"/>
    </row>
    <row r="94" spans="8:13" s="8" customFormat="1" x14ac:dyDescent="0.3">
      <c r="I94" s="21"/>
      <c r="J94" s="13"/>
      <c r="L94" s="8">
        <f>Table1345678101112131415161718192021222324[[#This Row],[الدولار]]+(Table1345678101112131415161718192021222324[[#This Row],[اللبناني]]/90)</f>
        <v>0</v>
      </c>
      <c r="M94" s="6"/>
    </row>
    <row r="95" spans="8:13" s="8" customFormat="1" x14ac:dyDescent="0.3">
      <c r="I95" s="21"/>
      <c r="J95" s="13"/>
      <c r="L95" s="8">
        <f>Table1345678101112131415161718192021222324[[#This Row],[الدولار]]+(Table1345678101112131415161718192021222324[[#This Row],[اللبناني]]/90)</f>
        <v>0</v>
      </c>
      <c r="M95" s="6"/>
    </row>
    <row r="96" spans="8:13" s="8" customFormat="1" x14ac:dyDescent="0.3">
      <c r="I96" s="21"/>
      <c r="J96" s="13"/>
      <c r="L96" s="8">
        <f>Table1345678101112131415161718192021222324[[#This Row],[الدولار]]+(Table1345678101112131415161718192021222324[[#This Row],[اللبناني]]/90)</f>
        <v>0</v>
      </c>
      <c r="M96" s="6"/>
    </row>
    <row r="97" spans="9:13" s="8" customFormat="1" x14ac:dyDescent="0.3">
      <c r="I97" s="21"/>
      <c r="J97" s="13"/>
      <c r="L97" s="8">
        <f>Table1345678101112131415161718192021222324[[#This Row],[الدولار]]+(Table1345678101112131415161718192021222324[[#This Row],[اللبناني]]/90)</f>
        <v>0</v>
      </c>
      <c r="M97" s="6"/>
    </row>
    <row r="98" spans="9:13" s="8" customFormat="1" x14ac:dyDescent="0.3">
      <c r="I98" s="21"/>
      <c r="J98" s="13"/>
      <c r="L98" s="8">
        <f>Table1345678101112131415161718192021222324[[#This Row],[الدولار]]+(Table1345678101112131415161718192021222324[[#This Row],[اللبناني]]/90)</f>
        <v>0</v>
      </c>
      <c r="M98" s="6"/>
    </row>
    <row r="99" spans="9:13" s="8" customFormat="1" x14ac:dyDescent="0.3">
      <c r="I99" s="21"/>
      <c r="J99" s="13"/>
      <c r="L99" s="8">
        <f>Table1345678101112131415161718192021222324[[#This Row],[الدولار]]+(Table1345678101112131415161718192021222324[[#This Row],[اللبناني]]/90)</f>
        <v>0</v>
      </c>
      <c r="M99" s="6"/>
    </row>
    <row r="100" spans="9:13" s="8" customFormat="1" x14ac:dyDescent="0.3">
      <c r="I100" s="21"/>
      <c r="J100" s="13"/>
      <c r="L100" s="8">
        <f>Table1345678101112131415161718192021222324[[#This Row],[الدولار]]+(Table1345678101112131415161718192021222324[[#This Row],[اللبناني]]/90)</f>
        <v>0</v>
      </c>
      <c r="M100" s="6"/>
    </row>
    <row r="101" spans="9:13" s="8" customFormat="1" x14ac:dyDescent="0.3">
      <c r="I101" s="21"/>
      <c r="J101" s="13"/>
      <c r="L101" s="8">
        <f>Table1345678101112131415161718192021222324[[#This Row],[الدولار]]+(Table1345678101112131415161718192021222324[[#This Row],[اللبناني]]/90)</f>
        <v>0</v>
      </c>
      <c r="M101" s="6"/>
    </row>
    <row r="102" spans="9:13" s="8" customFormat="1" x14ac:dyDescent="0.3">
      <c r="I102" s="21"/>
      <c r="J102" s="13"/>
      <c r="L102" s="8">
        <f>Table1345678101112131415161718192021222324[[#This Row],[الدولار]]+(Table1345678101112131415161718192021222324[[#This Row],[اللبناني]]/90)</f>
        <v>0</v>
      </c>
      <c r="M102" s="6"/>
    </row>
    <row r="103" spans="9:13" s="8" customFormat="1" x14ac:dyDescent="0.3">
      <c r="I103" s="21"/>
      <c r="J103" s="13"/>
      <c r="L103" s="8">
        <f>Table1345678101112131415161718192021222324[[#This Row],[الدولار]]+(Table1345678101112131415161718192021222324[[#This Row],[اللبناني]]/90)</f>
        <v>0</v>
      </c>
      <c r="M103" s="6"/>
    </row>
    <row r="104" spans="9:13" s="8" customFormat="1" x14ac:dyDescent="0.3">
      <c r="I104" s="21"/>
      <c r="J104" s="13"/>
      <c r="L104" s="8">
        <f>Table1345678101112131415161718192021222324[[#This Row],[الدولار]]+(Table1345678101112131415161718192021222324[[#This Row],[اللبناني]]/90)</f>
        <v>0</v>
      </c>
      <c r="M104" s="6"/>
    </row>
    <row r="105" spans="9:13" s="8" customFormat="1" x14ac:dyDescent="0.3">
      <c r="I105" s="21"/>
      <c r="J105" s="13"/>
      <c r="L105" s="8">
        <f>Table1345678101112131415161718192021222324[[#This Row],[الدولار]]+(Table1345678101112131415161718192021222324[[#This Row],[اللبناني]]/90)</f>
        <v>0</v>
      </c>
      <c r="M105" s="6"/>
    </row>
    <row r="106" spans="9:13" s="8" customFormat="1" x14ac:dyDescent="0.3">
      <c r="I106" s="21"/>
      <c r="J106" s="13"/>
      <c r="L106" s="8">
        <f>Table1345678101112131415161718192021222324[[#This Row],[الدولار]]+(Table1345678101112131415161718192021222324[[#This Row],[اللبناني]]/90)</f>
        <v>0</v>
      </c>
      <c r="M106" s="6"/>
    </row>
    <row r="107" spans="9:13" s="8" customFormat="1" x14ac:dyDescent="0.3">
      <c r="I107" s="21"/>
      <c r="J107" s="13"/>
      <c r="L107" s="8">
        <f>Table1345678101112131415161718192021222324[[#This Row],[الدولار]]+(Table1345678101112131415161718192021222324[[#This Row],[اللبناني]]/90)</f>
        <v>0</v>
      </c>
      <c r="M107" s="6"/>
    </row>
    <row r="108" spans="9:13" s="8" customFormat="1" x14ac:dyDescent="0.3">
      <c r="I108" s="21"/>
      <c r="J108" s="13"/>
      <c r="L108" s="8">
        <f>Table1345678101112131415161718192021222324[[#This Row],[الدولار]]+(Table1345678101112131415161718192021222324[[#This Row],[اللبناني]]/90)</f>
        <v>0</v>
      </c>
      <c r="M108" s="6"/>
    </row>
    <row r="109" spans="9:13" s="8" customFormat="1" x14ac:dyDescent="0.3">
      <c r="I109" s="21"/>
      <c r="J109" s="13"/>
      <c r="L109" s="8">
        <f>Table1345678101112131415161718192021222324[[#This Row],[الدولار]]+(Table1345678101112131415161718192021222324[[#This Row],[اللبناني]]/90)</f>
        <v>0</v>
      </c>
      <c r="M109" s="6"/>
    </row>
    <row r="110" spans="9:13" s="8" customFormat="1" x14ac:dyDescent="0.3">
      <c r="I110" s="21"/>
      <c r="J110" s="13"/>
      <c r="L110" s="8">
        <f>Table1345678101112131415161718192021222324[[#This Row],[الدولار]]+(Table1345678101112131415161718192021222324[[#This Row],[اللبناني]]/90)</f>
        <v>0</v>
      </c>
      <c r="M110" s="6"/>
    </row>
    <row r="111" spans="9:13" s="8" customFormat="1" x14ac:dyDescent="0.3">
      <c r="I111" s="21"/>
      <c r="J111" s="13"/>
      <c r="L111" s="8">
        <f>Table1345678101112131415161718192021222324[[#This Row],[الدولار]]+(Table1345678101112131415161718192021222324[[#This Row],[اللبناني]]/90)</f>
        <v>0</v>
      </c>
      <c r="M111" s="6"/>
    </row>
    <row r="112" spans="9:13" s="8" customFormat="1" x14ac:dyDescent="0.3">
      <c r="I112" s="21"/>
      <c r="J112" s="13"/>
      <c r="L112" s="8">
        <f>Table1345678101112131415161718192021222324[[#This Row],[الدولار]]+(Table1345678101112131415161718192021222324[[#This Row],[اللبناني]]/90)</f>
        <v>0</v>
      </c>
      <c r="M112" s="6"/>
    </row>
    <row r="113" spans="9:13" s="8" customFormat="1" x14ac:dyDescent="0.3">
      <c r="I113" s="21"/>
      <c r="J113" s="13"/>
      <c r="L113" s="8">
        <f>Table1345678101112131415161718192021222324[[#This Row],[الدولار]]+(Table1345678101112131415161718192021222324[[#This Row],[اللبناني]]/90)</f>
        <v>0</v>
      </c>
      <c r="M113" s="6"/>
    </row>
    <row r="114" spans="9:13" s="8" customFormat="1" x14ac:dyDescent="0.3">
      <c r="I114" s="21"/>
      <c r="J114" s="13"/>
      <c r="L114" s="8">
        <f>Table1345678101112131415161718192021222324[[#This Row],[الدولار]]+(Table1345678101112131415161718192021222324[[#This Row],[اللبناني]]/90)</f>
        <v>0</v>
      </c>
      <c r="M114" s="6"/>
    </row>
    <row r="115" spans="9:13" s="8" customFormat="1" x14ac:dyDescent="0.3">
      <c r="I115" s="21"/>
      <c r="J115" s="13"/>
      <c r="L115" s="8">
        <f>Table1345678101112131415161718192021222324[[#This Row],[الدولار]]+(Table1345678101112131415161718192021222324[[#This Row],[اللبناني]]/90)</f>
        <v>0</v>
      </c>
      <c r="M115" s="6"/>
    </row>
    <row r="116" spans="9:13" s="8" customFormat="1" x14ac:dyDescent="0.3">
      <c r="I116" s="21"/>
      <c r="J116" s="13"/>
      <c r="L116" s="8">
        <f>Table1345678101112131415161718192021222324[[#This Row],[الدولار]]+(Table1345678101112131415161718192021222324[[#This Row],[اللبناني]]/90)</f>
        <v>0</v>
      </c>
      <c r="M116" s="6"/>
    </row>
    <row r="117" spans="9:13" s="8" customFormat="1" x14ac:dyDescent="0.3">
      <c r="I117" s="21"/>
      <c r="J117" s="13"/>
      <c r="L117" s="8">
        <f>Table1345678101112131415161718192021222324[[#This Row],[الدولار]]+(Table1345678101112131415161718192021222324[[#This Row],[اللبناني]]/90)</f>
        <v>0</v>
      </c>
      <c r="M117" s="6"/>
    </row>
    <row r="118" spans="9:13" s="8" customFormat="1" x14ac:dyDescent="0.3">
      <c r="I118" s="21"/>
      <c r="J118" s="13"/>
      <c r="L118" s="8">
        <f>Table1345678101112131415161718192021222324[[#This Row],[الدولار]]+(Table1345678101112131415161718192021222324[[#This Row],[اللبناني]]/90)</f>
        <v>0</v>
      </c>
      <c r="M118" s="6"/>
    </row>
    <row r="119" spans="9:13" s="8" customFormat="1" x14ac:dyDescent="0.3">
      <c r="I119" s="21"/>
      <c r="J119" s="13"/>
      <c r="L119" s="8">
        <f>Table1345678101112131415161718192021222324[[#This Row],[الدولار]]+(Table1345678101112131415161718192021222324[[#This Row],[اللبناني]]/90)</f>
        <v>0</v>
      </c>
      <c r="M119" s="6"/>
    </row>
    <row r="120" spans="9:13" s="8" customFormat="1" x14ac:dyDescent="0.3">
      <c r="I120" s="21"/>
      <c r="J120" s="13"/>
      <c r="L120" s="8">
        <f>Table1345678101112131415161718192021222324[[#This Row],[الدولار]]+(Table1345678101112131415161718192021222324[[#This Row],[اللبناني]]/90)</f>
        <v>0</v>
      </c>
      <c r="M120" s="6"/>
    </row>
    <row r="121" spans="9:13" s="8" customFormat="1" x14ac:dyDescent="0.3">
      <c r="I121" s="21"/>
      <c r="J121" s="13"/>
      <c r="L121" s="8">
        <f>Table1345678101112131415161718192021222324[[#This Row],[الدولار]]+(Table1345678101112131415161718192021222324[[#This Row],[اللبناني]]/90)</f>
        <v>0</v>
      </c>
      <c r="M121" s="6"/>
    </row>
    <row r="122" spans="9:13" s="8" customFormat="1" x14ac:dyDescent="0.3">
      <c r="I122" s="21"/>
      <c r="J122" s="13"/>
      <c r="L122" s="8">
        <f>Table1345678101112131415161718192021222324[[#This Row],[الدولار]]+(Table1345678101112131415161718192021222324[[#This Row],[اللبناني]]/90)</f>
        <v>0</v>
      </c>
      <c r="M122" s="6"/>
    </row>
    <row r="123" spans="9:13" s="8" customFormat="1" x14ac:dyDescent="0.3">
      <c r="I123" s="21"/>
      <c r="J123" s="13"/>
      <c r="L123" s="8">
        <f>Table1345678101112131415161718192021222324[[#This Row],[الدولار]]+(Table1345678101112131415161718192021222324[[#This Row],[اللبناني]]/90)</f>
        <v>0</v>
      </c>
      <c r="M123" s="6"/>
    </row>
    <row r="124" spans="9:13" s="8" customFormat="1" x14ac:dyDescent="0.3">
      <c r="I124" s="21"/>
      <c r="J124" s="13"/>
      <c r="L124" s="8">
        <f>Table1345678101112131415161718192021222324[[#This Row],[الدولار]]+(Table1345678101112131415161718192021222324[[#This Row],[اللبناني]]/90)</f>
        <v>0</v>
      </c>
      <c r="M124" s="6"/>
    </row>
    <row r="125" spans="9:13" s="8" customFormat="1" x14ac:dyDescent="0.3">
      <c r="I125" s="21"/>
      <c r="J125" s="13"/>
      <c r="L125" s="8">
        <f>Table1345678101112131415161718192021222324[[#This Row],[الدولار]]+(Table1345678101112131415161718192021222324[[#This Row],[اللبناني]]/90)</f>
        <v>0</v>
      </c>
      <c r="M125" s="6"/>
    </row>
    <row r="126" spans="9:13" s="8" customFormat="1" x14ac:dyDescent="0.3">
      <c r="I126" s="21"/>
      <c r="J126" s="13"/>
      <c r="L126" s="8">
        <f>Table1345678101112131415161718192021222324[[#This Row],[الدولار]]+(Table1345678101112131415161718192021222324[[#This Row],[اللبناني]]/90)</f>
        <v>0</v>
      </c>
      <c r="M126" s="6"/>
    </row>
    <row r="127" spans="9:13" s="8" customFormat="1" x14ac:dyDescent="0.3">
      <c r="I127" s="21"/>
      <c r="J127" s="13"/>
      <c r="L127" s="8">
        <f>Table1345678101112131415161718192021222324[[#This Row],[الدولار]]+(Table1345678101112131415161718192021222324[[#This Row],[اللبناني]]/90)</f>
        <v>0</v>
      </c>
      <c r="M127" s="6"/>
    </row>
    <row r="128" spans="9:13" s="8" customFormat="1" x14ac:dyDescent="0.3">
      <c r="I128" s="21"/>
      <c r="J128" s="13"/>
      <c r="L128" s="8">
        <f>Table1345678101112131415161718192021222324[[#This Row],[الدولار]]+(Table1345678101112131415161718192021222324[[#This Row],[اللبناني]]/90)</f>
        <v>0</v>
      </c>
      <c r="M128" s="6"/>
    </row>
    <row r="129" spans="9:13" s="8" customFormat="1" x14ac:dyDescent="0.3">
      <c r="I129" s="21"/>
      <c r="J129" s="13"/>
      <c r="L129" s="8">
        <f>Table1345678101112131415161718192021222324[[#This Row],[الدولار]]+(Table1345678101112131415161718192021222324[[#This Row],[اللبناني]]/90)</f>
        <v>0</v>
      </c>
      <c r="M129" s="6"/>
    </row>
    <row r="130" spans="9:13" s="8" customFormat="1" x14ac:dyDescent="0.3">
      <c r="I130" s="21"/>
      <c r="J130" s="13"/>
      <c r="L130" s="8">
        <f>Table1345678101112131415161718192021222324[[#This Row],[الدولار]]+(Table1345678101112131415161718192021222324[[#This Row],[اللبناني]]/90)</f>
        <v>0</v>
      </c>
      <c r="M130" s="6"/>
    </row>
    <row r="131" spans="9:13" s="8" customFormat="1" x14ac:dyDescent="0.3">
      <c r="I131" s="21"/>
      <c r="J131" s="13"/>
      <c r="L131" s="8">
        <f>Table1345678101112131415161718192021222324[[#This Row],[الدولار]]+(Table1345678101112131415161718192021222324[[#This Row],[اللبناني]]/90)</f>
        <v>0</v>
      </c>
      <c r="M131" s="6"/>
    </row>
    <row r="132" spans="9:13" s="8" customFormat="1" x14ac:dyDescent="0.3">
      <c r="I132" s="21"/>
      <c r="J132" s="13"/>
      <c r="L132" s="8">
        <f>Table1345678101112131415161718192021222324[[#This Row],[الدولار]]+(Table1345678101112131415161718192021222324[[#This Row],[اللبناني]]/90)</f>
        <v>0</v>
      </c>
      <c r="M132" s="6"/>
    </row>
    <row r="133" spans="9:13" s="8" customFormat="1" x14ac:dyDescent="0.3">
      <c r="I133" s="21"/>
      <c r="J133" s="13"/>
      <c r="L133" s="8">
        <f>Table1345678101112131415161718192021222324[[#This Row],[الدولار]]+(Table1345678101112131415161718192021222324[[#This Row],[اللبناني]]/90)</f>
        <v>0</v>
      </c>
      <c r="M133" s="6"/>
    </row>
    <row r="134" spans="9:13" s="8" customFormat="1" x14ac:dyDescent="0.3">
      <c r="I134" s="21"/>
      <c r="J134" s="13"/>
      <c r="L134" s="8">
        <f>Table1345678101112131415161718192021222324[[#This Row],[الدولار]]+(Table1345678101112131415161718192021222324[[#This Row],[اللبناني]]/90)</f>
        <v>0</v>
      </c>
      <c r="M134" s="6"/>
    </row>
    <row r="135" spans="9:13" s="8" customFormat="1" x14ac:dyDescent="0.3">
      <c r="I135" s="21"/>
      <c r="J135" s="13"/>
      <c r="L135" s="8">
        <f>Table1345678101112131415161718192021222324[[#This Row],[الدولار]]+(Table1345678101112131415161718192021222324[[#This Row],[اللبناني]]/90)</f>
        <v>0</v>
      </c>
      <c r="M135" s="6"/>
    </row>
    <row r="136" spans="9:13" s="8" customFormat="1" x14ac:dyDescent="0.3">
      <c r="I136" s="21"/>
      <c r="J136" s="13"/>
      <c r="L136" s="8">
        <f>Table1345678101112131415161718192021222324[[#This Row],[الدولار]]+(Table1345678101112131415161718192021222324[[#This Row],[اللبناني]]/90)</f>
        <v>0</v>
      </c>
      <c r="M136" s="6"/>
    </row>
    <row r="137" spans="9:13" s="8" customFormat="1" x14ac:dyDescent="0.3">
      <c r="I137" s="21"/>
      <c r="J137" s="13"/>
      <c r="L137" s="8">
        <f>Table1345678101112131415161718192021222324[[#This Row],[الدولار]]+(Table1345678101112131415161718192021222324[[#This Row],[اللبناني]]/90)</f>
        <v>0</v>
      </c>
      <c r="M137" s="6"/>
    </row>
    <row r="138" spans="9:13" s="8" customFormat="1" x14ac:dyDescent="0.3">
      <c r="I138" s="21"/>
      <c r="J138" s="13"/>
      <c r="L138" s="8">
        <f>Table1345678101112131415161718192021222324[[#This Row],[الدولار]]+(Table1345678101112131415161718192021222324[[#This Row],[اللبناني]]/90)</f>
        <v>0</v>
      </c>
      <c r="M138" s="6"/>
    </row>
    <row r="139" spans="9:13" s="8" customFormat="1" x14ac:dyDescent="0.3">
      <c r="I139" s="21"/>
      <c r="J139" s="13"/>
      <c r="L139" s="8">
        <f>Table1345678101112131415161718192021222324[[#This Row],[الدولار]]+(Table1345678101112131415161718192021222324[[#This Row],[اللبناني]]/90)</f>
        <v>0</v>
      </c>
      <c r="M139" s="6"/>
    </row>
    <row r="140" spans="9:13" s="8" customFormat="1" x14ac:dyDescent="0.3">
      <c r="I140" s="21"/>
      <c r="J140" s="13"/>
      <c r="L140" s="8">
        <f>Table1345678101112131415161718192021222324[[#This Row],[الدولار]]+(Table1345678101112131415161718192021222324[[#This Row],[اللبناني]]/90)</f>
        <v>0</v>
      </c>
      <c r="M140" s="6"/>
    </row>
    <row r="141" spans="9:13" s="8" customFormat="1" x14ac:dyDescent="0.3">
      <c r="I141" s="21"/>
      <c r="J141" s="13"/>
      <c r="L141" s="8">
        <f>Table1345678101112131415161718192021222324[[#This Row],[الدولار]]+(Table1345678101112131415161718192021222324[[#This Row],[اللبناني]]/90)</f>
        <v>0</v>
      </c>
      <c r="M141" s="6"/>
    </row>
    <row r="142" spans="9:13" s="8" customFormat="1" x14ac:dyDescent="0.3">
      <c r="I142" s="21"/>
      <c r="J142" s="13"/>
      <c r="L142" s="8">
        <f>Table1345678101112131415161718192021222324[[#This Row],[الدولار]]+(Table1345678101112131415161718192021222324[[#This Row],[اللبناني]]/90)</f>
        <v>0</v>
      </c>
      <c r="M142" s="6"/>
    </row>
    <row r="143" spans="9:13" s="8" customFormat="1" x14ac:dyDescent="0.3">
      <c r="I143" s="21"/>
      <c r="J143" s="13"/>
      <c r="L143" s="8">
        <f>Table1345678101112131415161718192021222324[[#This Row],[الدولار]]+(Table1345678101112131415161718192021222324[[#This Row],[اللبناني]]/90)</f>
        <v>0</v>
      </c>
      <c r="M143" s="6"/>
    </row>
    <row r="144" spans="9:13" s="8" customFormat="1" x14ac:dyDescent="0.3">
      <c r="I144" s="21"/>
      <c r="J144" s="13"/>
      <c r="L144" s="8">
        <f>Table1345678101112131415161718192021222324[[#This Row],[الدولار]]+(Table1345678101112131415161718192021222324[[#This Row],[اللبناني]]/90)</f>
        <v>0</v>
      </c>
      <c r="M144" s="6"/>
    </row>
    <row r="145" spans="9:13" s="8" customFormat="1" x14ac:dyDescent="0.3">
      <c r="I145" s="21"/>
      <c r="J145" s="13"/>
      <c r="L145" s="8">
        <f>Table1345678101112131415161718192021222324[[#This Row],[الدولار]]+(Table1345678101112131415161718192021222324[[#This Row],[اللبناني]]/90)</f>
        <v>0</v>
      </c>
      <c r="M145" s="6"/>
    </row>
    <row r="146" spans="9:13" s="8" customFormat="1" x14ac:dyDescent="0.3">
      <c r="I146" s="21"/>
      <c r="J146" s="13"/>
      <c r="L146" s="8">
        <f>Table1345678101112131415161718192021222324[[#This Row],[الدولار]]+(Table1345678101112131415161718192021222324[[#This Row],[اللبناني]]/90)</f>
        <v>0</v>
      </c>
      <c r="M146" s="6"/>
    </row>
    <row r="147" spans="9:13" s="8" customFormat="1" x14ac:dyDescent="0.3">
      <c r="I147" s="21"/>
      <c r="J147" s="13"/>
      <c r="L147" s="8">
        <f>Table1345678101112131415161718192021222324[[#This Row],[الدولار]]+(Table1345678101112131415161718192021222324[[#This Row],[اللبناني]]/90)</f>
        <v>0</v>
      </c>
      <c r="M147" s="6"/>
    </row>
    <row r="148" spans="9:13" s="8" customFormat="1" x14ac:dyDescent="0.3">
      <c r="I148" s="21"/>
      <c r="J148" s="13"/>
      <c r="L148" s="8">
        <f>Table1345678101112131415161718192021222324[[#This Row],[الدولار]]+(Table1345678101112131415161718192021222324[[#This Row],[اللبناني]]/90)</f>
        <v>0</v>
      </c>
      <c r="M148" s="6"/>
    </row>
    <row r="149" spans="9:13" s="8" customFormat="1" x14ac:dyDescent="0.3">
      <c r="I149" s="21"/>
      <c r="J149" s="13"/>
      <c r="L149" s="8">
        <f>Table1345678101112131415161718192021222324[[#This Row],[الدولار]]+(Table1345678101112131415161718192021222324[[#This Row],[اللبناني]]/90)</f>
        <v>0</v>
      </c>
      <c r="M149" s="6"/>
    </row>
    <row r="150" spans="9:13" s="8" customFormat="1" x14ac:dyDescent="0.3">
      <c r="I150" s="21"/>
      <c r="J150" s="13"/>
      <c r="L150" s="8">
        <f>Table1345678101112131415161718192021222324[[#This Row],[الدولار]]+(Table1345678101112131415161718192021222324[[#This Row],[اللبناني]]/90)</f>
        <v>0</v>
      </c>
      <c r="M150" s="6"/>
    </row>
    <row r="151" spans="9:13" s="8" customFormat="1" x14ac:dyDescent="0.3">
      <c r="I151" s="21"/>
      <c r="J151" s="13"/>
      <c r="L151" s="8">
        <f>Table1345678101112131415161718192021222324[[#This Row],[الدولار]]+(Table1345678101112131415161718192021222324[[#This Row],[اللبناني]]/90)</f>
        <v>0</v>
      </c>
      <c r="M151" s="6"/>
    </row>
    <row r="152" spans="9:13" s="8" customFormat="1" x14ac:dyDescent="0.3">
      <c r="I152" s="21"/>
      <c r="J152" s="13"/>
      <c r="L152" s="8">
        <f>Table1345678101112131415161718192021222324[[#This Row],[الدولار]]+(Table1345678101112131415161718192021222324[[#This Row],[اللبناني]]/90)</f>
        <v>0</v>
      </c>
      <c r="M152" s="6"/>
    </row>
    <row r="153" spans="9:13" s="8" customFormat="1" x14ac:dyDescent="0.3">
      <c r="I153" s="21"/>
      <c r="J153" s="13"/>
      <c r="L153" s="8">
        <f>Table1345678101112131415161718192021222324[[#This Row],[الدولار]]+(Table1345678101112131415161718192021222324[[#This Row],[اللبناني]]/90)</f>
        <v>0</v>
      </c>
      <c r="M153" s="6"/>
    </row>
    <row r="154" spans="9:13" s="8" customFormat="1" x14ac:dyDescent="0.3">
      <c r="I154" s="21"/>
      <c r="J154" s="13"/>
      <c r="L154" s="8">
        <f>Table1345678101112131415161718192021222324[[#This Row],[الدولار]]+(Table1345678101112131415161718192021222324[[#This Row],[اللبناني]]/90)</f>
        <v>0</v>
      </c>
      <c r="M154" s="6"/>
    </row>
    <row r="155" spans="9:13" s="8" customFormat="1" x14ac:dyDescent="0.3">
      <c r="I155" s="21"/>
      <c r="J155" s="13"/>
      <c r="L155" s="8">
        <f>Table1345678101112131415161718192021222324[[#This Row],[الدولار]]+(Table1345678101112131415161718192021222324[[#This Row],[اللبناني]]/90)</f>
        <v>0</v>
      </c>
      <c r="M155" s="6"/>
    </row>
    <row r="156" spans="9:13" s="8" customFormat="1" x14ac:dyDescent="0.3">
      <c r="I156" s="21"/>
      <c r="J156" s="13"/>
      <c r="L156" s="8">
        <f>Table1345678101112131415161718192021222324[[#This Row],[الدولار]]+(Table1345678101112131415161718192021222324[[#This Row],[اللبناني]]/90)</f>
        <v>0</v>
      </c>
      <c r="M156" s="6"/>
    </row>
    <row r="157" spans="9:13" s="8" customFormat="1" x14ac:dyDescent="0.3">
      <c r="I157" s="21"/>
      <c r="J157" s="13"/>
      <c r="L157" s="8">
        <f>Table1345678101112131415161718192021222324[[#This Row],[الدولار]]+(Table1345678101112131415161718192021222324[[#This Row],[اللبناني]]/90)</f>
        <v>0</v>
      </c>
      <c r="M157" s="6"/>
    </row>
    <row r="158" spans="9:13" s="8" customFormat="1" x14ac:dyDescent="0.3">
      <c r="I158" s="21"/>
      <c r="J158" s="13"/>
      <c r="L158" s="8">
        <f>Table1345678101112131415161718192021222324[[#This Row],[الدولار]]+(Table1345678101112131415161718192021222324[[#This Row],[اللبناني]]/90)</f>
        <v>0</v>
      </c>
      <c r="M158" s="6"/>
    </row>
    <row r="159" spans="9:13" s="8" customFormat="1" x14ac:dyDescent="0.3">
      <c r="I159" s="21"/>
      <c r="J159" s="13"/>
      <c r="L159" s="8">
        <f>Table1345678101112131415161718192021222324[[#This Row],[الدولار]]+(Table1345678101112131415161718192021222324[[#This Row],[اللبناني]]/90)</f>
        <v>0</v>
      </c>
      <c r="M159" s="6"/>
    </row>
    <row r="160" spans="9:13" s="8" customFormat="1" x14ac:dyDescent="0.3">
      <c r="I160" s="21"/>
      <c r="J160" s="13"/>
      <c r="L160" s="8">
        <f>Table1345678101112131415161718192021222324[[#This Row],[الدولار]]+(Table1345678101112131415161718192021222324[[#This Row],[اللبناني]]/90)</f>
        <v>0</v>
      </c>
      <c r="M160" s="6"/>
    </row>
    <row r="161" spans="9:13" s="8" customFormat="1" x14ac:dyDescent="0.3">
      <c r="I161" s="21"/>
      <c r="J161" s="13"/>
      <c r="L161" s="8">
        <f>Table1345678101112131415161718192021222324[[#This Row],[الدولار]]+(Table1345678101112131415161718192021222324[[#This Row],[اللبناني]]/90)</f>
        <v>0</v>
      </c>
      <c r="M161" s="6"/>
    </row>
    <row r="162" spans="9:13" s="8" customFormat="1" x14ac:dyDescent="0.3">
      <c r="I162" s="21"/>
      <c r="J162" s="13"/>
      <c r="L162" s="8">
        <f>Table1345678101112131415161718192021222324[[#This Row],[الدولار]]+(Table1345678101112131415161718192021222324[[#This Row],[اللبناني]]/90)</f>
        <v>0</v>
      </c>
      <c r="M162" s="6"/>
    </row>
    <row r="163" spans="9:13" s="8" customFormat="1" x14ac:dyDescent="0.3">
      <c r="I163" s="21"/>
      <c r="J163" s="13"/>
      <c r="L163" s="8">
        <f>Table1345678101112131415161718192021222324[[#This Row],[الدولار]]+(Table1345678101112131415161718192021222324[[#This Row],[اللبناني]]/90)</f>
        <v>0</v>
      </c>
      <c r="M163" s="6"/>
    </row>
    <row r="164" spans="9:13" s="8" customFormat="1" x14ac:dyDescent="0.3">
      <c r="I164" s="21"/>
      <c r="J164" s="13"/>
      <c r="L164" s="8">
        <f>Table1345678101112131415161718192021222324[[#This Row],[الدولار]]+(Table1345678101112131415161718192021222324[[#This Row],[اللبناني]]/90)</f>
        <v>0</v>
      </c>
      <c r="M164" s="6"/>
    </row>
    <row r="165" spans="9:13" s="8" customFormat="1" x14ac:dyDescent="0.3">
      <c r="I165" s="21"/>
      <c r="J165" s="13"/>
      <c r="L165" s="8">
        <f>Table1345678101112131415161718192021222324[[#This Row],[الدولار]]+(Table1345678101112131415161718192021222324[[#This Row],[اللبناني]]/90)</f>
        <v>0</v>
      </c>
      <c r="M165" s="6"/>
    </row>
    <row r="166" spans="9:13" s="8" customFormat="1" x14ac:dyDescent="0.3">
      <c r="I166" s="21"/>
      <c r="J166" s="13"/>
      <c r="L166" s="8">
        <f>Table1345678101112131415161718192021222324[[#This Row],[الدولار]]+(Table1345678101112131415161718192021222324[[#This Row],[اللبناني]]/90)</f>
        <v>0</v>
      </c>
      <c r="M166" s="6"/>
    </row>
    <row r="167" spans="9:13" s="8" customFormat="1" x14ac:dyDescent="0.3">
      <c r="I167" s="21"/>
      <c r="J167" s="13"/>
      <c r="L167" s="8">
        <f>Table1345678101112131415161718192021222324[[#This Row],[الدولار]]+(Table1345678101112131415161718192021222324[[#This Row],[اللبناني]]/90)</f>
        <v>0</v>
      </c>
      <c r="M167" s="6"/>
    </row>
    <row r="168" spans="9:13" s="8" customFormat="1" x14ac:dyDescent="0.3">
      <c r="I168" s="21"/>
      <c r="J168" s="13"/>
      <c r="L168" s="8">
        <f>Table1345678101112131415161718192021222324[[#This Row],[الدولار]]+(Table1345678101112131415161718192021222324[[#This Row],[اللبناني]]/90)</f>
        <v>0</v>
      </c>
      <c r="M168" s="6"/>
    </row>
    <row r="169" spans="9:13" s="8" customFormat="1" x14ac:dyDescent="0.3">
      <c r="I169" s="21"/>
      <c r="J169" s="13"/>
      <c r="L169" s="8">
        <f>Table1345678101112131415161718192021222324[[#This Row],[الدولار]]+(Table1345678101112131415161718192021222324[[#This Row],[اللبناني]]/90)</f>
        <v>0</v>
      </c>
      <c r="M169" s="6"/>
    </row>
    <row r="170" spans="9:13" s="8" customFormat="1" x14ac:dyDescent="0.3">
      <c r="I170" s="21"/>
      <c r="J170" s="13"/>
      <c r="L170" s="8">
        <f>Table1345678101112131415161718192021222324[[#This Row],[الدولار]]+(Table1345678101112131415161718192021222324[[#This Row],[اللبناني]]/90)</f>
        <v>0</v>
      </c>
      <c r="M170" s="6"/>
    </row>
    <row r="171" spans="9:13" s="8" customFormat="1" x14ac:dyDescent="0.3">
      <c r="I171" s="21"/>
      <c r="J171" s="13"/>
      <c r="L171" s="8">
        <f>Table1345678101112131415161718192021222324[[#This Row],[الدولار]]+(Table1345678101112131415161718192021222324[[#This Row],[اللبناني]]/90)</f>
        <v>0</v>
      </c>
      <c r="M171" s="6"/>
    </row>
    <row r="172" spans="9:13" s="8" customFormat="1" x14ac:dyDescent="0.3">
      <c r="I172" s="21"/>
      <c r="J172" s="13"/>
      <c r="L172" s="8">
        <f>Table1345678101112131415161718192021222324[[#This Row],[الدولار]]+(Table1345678101112131415161718192021222324[[#This Row],[اللبناني]]/90)</f>
        <v>0</v>
      </c>
      <c r="M172" s="6"/>
    </row>
    <row r="173" spans="9:13" s="8" customFormat="1" x14ac:dyDescent="0.3">
      <c r="I173" s="21"/>
      <c r="J173" s="13"/>
      <c r="L173" s="8">
        <f>Table1345678101112131415161718192021222324[[#This Row],[الدولار]]+(Table1345678101112131415161718192021222324[[#This Row],[اللبناني]]/90)</f>
        <v>0</v>
      </c>
      <c r="M173" s="6"/>
    </row>
    <row r="174" spans="9:13" s="8" customFormat="1" x14ac:dyDescent="0.3">
      <c r="I174" s="21"/>
      <c r="J174" s="13"/>
      <c r="L174" s="8">
        <f>Table1345678101112131415161718192021222324[[#This Row],[الدولار]]+(Table1345678101112131415161718192021222324[[#This Row],[اللبناني]]/90)</f>
        <v>0</v>
      </c>
      <c r="M174" s="6"/>
    </row>
    <row r="175" spans="9:13" s="8" customFormat="1" x14ac:dyDescent="0.3">
      <c r="I175" s="21"/>
      <c r="J175" s="13"/>
      <c r="L175" s="8">
        <f>Table1345678101112131415161718192021222324[[#This Row],[الدولار]]+(Table1345678101112131415161718192021222324[[#This Row],[اللبناني]]/90)</f>
        <v>0</v>
      </c>
      <c r="M175" s="6"/>
    </row>
    <row r="176" spans="9:13" s="8" customFormat="1" x14ac:dyDescent="0.3">
      <c r="I176" s="21"/>
      <c r="J176" s="13"/>
      <c r="L176" s="8">
        <f>Table1345678101112131415161718192021222324[[#This Row],[الدولار]]+(Table1345678101112131415161718192021222324[[#This Row],[اللبناني]]/90)</f>
        <v>0</v>
      </c>
      <c r="M176" s="6"/>
    </row>
    <row r="177" spans="9:13" s="8" customFormat="1" x14ac:dyDescent="0.3">
      <c r="I177" s="21"/>
      <c r="J177" s="13"/>
      <c r="L177" s="8">
        <f>Table1345678101112131415161718192021222324[[#This Row],[الدولار]]+(Table1345678101112131415161718192021222324[[#This Row],[اللبناني]]/90)</f>
        <v>0</v>
      </c>
      <c r="M177" s="6"/>
    </row>
    <row r="178" spans="9:13" s="8" customFormat="1" x14ac:dyDescent="0.3">
      <c r="I178" s="21"/>
      <c r="J178" s="13"/>
      <c r="L178" s="8">
        <f>Table1345678101112131415161718192021222324[[#This Row],[الدولار]]+(Table1345678101112131415161718192021222324[[#This Row],[اللبناني]]/90)</f>
        <v>0</v>
      </c>
      <c r="M178" s="6"/>
    </row>
    <row r="179" spans="9:13" s="8" customFormat="1" x14ac:dyDescent="0.3">
      <c r="I179" s="21"/>
      <c r="J179" s="13"/>
      <c r="L179" s="8">
        <f>Table1345678101112131415161718192021222324[[#This Row],[الدولار]]+(Table1345678101112131415161718192021222324[[#This Row],[اللبناني]]/90)</f>
        <v>0</v>
      </c>
      <c r="M179" s="6"/>
    </row>
    <row r="180" spans="9:13" s="8" customFormat="1" x14ac:dyDescent="0.3">
      <c r="I180" s="21"/>
      <c r="J180" s="13"/>
      <c r="L180" s="8">
        <f>Table1345678101112131415161718192021222324[[#This Row],[الدولار]]+(Table1345678101112131415161718192021222324[[#This Row],[اللبناني]]/90)</f>
        <v>0</v>
      </c>
      <c r="M180" s="6"/>
    </row>
    <row r="181" spans="9:13" s="8" customFormat="1" x14ac:dyDescent="0.3">
      <c r="I181" s="21"/>
      <c r="J181" s="13"/>
      <c r="L181" s="8">
        <f>Table1345678101112131415161718192021222324[[#This Row],[الدولار]]+(Table1345678101112131415161718192021222324[[#This Row],[اللبناني]]/90)</f>
        <v>0</v>
      </c>
      <c r="M181" s="6"/>
    </row>
    <row r="182" spans="9:13" s="8" customFormat="1" x14ac:dyDescent="0.3">
      <c r="I182" s="21"/>
      <c r="J182" s="13"/>
      <c r="L182" s="8">
        <f>Table1345678101112131415161718192021222324[[#This Row],[الدولار]]+(Table1345678101112131415161718192021222324[[#This Row],[اللبناني]]/90)</f>
        <v>0</v>
      </c>
      <c r="M182" s="6"/>
    </row>
    <row r="183" spans="9:13" s="8" customFormat="1" x14ac:dyDescent="0.3">
      <c r="I183" s="21"/>
      <c r="J183" s="13"/>
      <c r="L183" s="8">
        <f>Table1345678101112131415161718192021222324[[#This Row],[الدولار]]+(Table1345678101112131415161718192021222324[[#This Row],[اللبناني]]/90)</f>
        <v>0</v>
      </c>
      <c r="M183" s="6"/>
    </row>
    <row r="184" spans="9:13" s="8" customFormat="1" x14ac:dyDescent="0.3">
      <c r="I184" s="21"/>
      <c r="J184" s="13"/>
      <c r="L184" s="8">
        <f>Table1345678101112131415161718192021222324[[#This Row],[الدولار]]+(Table1345678101112131415161718192021222324[[#This Row],[اللبناني]]/90)</f>
        <v>0</v>
      </c>
      <c r="M184" s="6"/>
    </row>
    <row r="185" spans="9:13" s="8" customFormat="1" x14ac:dyDescent="0.3">
      <c r="I185" s="21"/>
      <c r="J185" s="13"/>
      <c r="L185" s="8">
        <f>Table1345678101112131415161718192021222324[[#This Row],[الدولار]]+(Table1345678101112131415161718192021222324[[#This Row],[اللبناني]]/90)</f>
        <v>0</v>
      </c>
      <c r="M185" s="6"/>
    </row>
    <row r="186" spans="9:13" s="8" customFormat="1" x14ac:dyDescent="0.3">
      <c r="I186" s="21"/>
      <c r="J186" s="13"/>
      <c r="L186" s="8">
        <f>Table1345678101112131415161718192021222324[[#This Row],[الدولار]]+(Table1345678101112131415161718192021222324[[#This Row],[اللبناني]]/90)</f>
        <v>0</v>
      </c>
      <c r="M186" s="6"/>
    </row>
    <row r="187" spans="9:13" s="8" customFormat="1" x14ac:dyDescent="0.3">
      <c r="I187" s="21"/>
      <c r="J187" s="13"/>
      <c r="L187" s="8">
        <f>Table1345678101112131415161718192021222324[[#This Row],[الدولار]]+(Table1345678101112131415161718192021222324[[#This Row],[اللبناني]]/90)</f>
        <v>0</v>
      </c>
      <c r="M187" s="6"/>
    </row>
    <row r="188" spans="9:13" s="8" customFormat="1" x14ac:dyDescent="0.3">
      <c r="I188" s="21"/>
      <c r="J188" s="13"/>
      <c r="L188" s="8">
        <f>Table1345678101112131415161718192021222324[[#This Row],[الدولار]]+(Table1345678101112131415161718192021222324[[#This Row],[اللبناني]]/90)</f>
        <v>0</v>
      </c>
      <c r="M188" s="6"/>
    </row>
    <row r="189" spans="9:13" s="8" customFormat="1" x14ac:dyDescent="0.3">
      <c r="I189" s="21"/>
      <c r="J189" s="13"/>
      <c r="L189" s="8">
        <f>Table1345678101112131415161718192021222324[[#This Row],[الدولار]]+(Table1345678101112131415161718192021222324[[#This Row],[اللبناني]]/90)</f>
        <v>0</v>
      </c>
      <c r="M189" s="6"/>
    </row>
    <row r="190" spans="9:13" s="8" customFormat="1" x14ac:dyDescent="0.3">
      <c r="I190" s="21"/>
      <c r="J190" s="13"/>
      <c r="L190" s="8">
        <f>Table1345678101112131415161718192021222324[[#This Row],[الدولار]]+(Table1345678101112131415161718192021222324[[#This Row],[اللبناني]]/90)</f>
        <v>0</v>
      </c>
      <c r="M190" s="6"/>
    </row>
    <row r="191" spans="9:13" s="8" customFormat="1" x14ac:dyDescent="0.3">
      <c r="I191" s="21"/>
      <c r="J191" s="13"/>
      <c r="L191" s="8">
        <f>Table1345678101112131415161718192021222324[[#This Row],[الدولار]]+(Table1345678101112131415161718192021222324[[#This Row],[اللبناني]]/90)</f>
        <v>0</v>
      </c>
      <c r="M191" s="6"/>
    </row>
    <row r="192" spans="9:13" s="8" customFormat="1" x14ac:dyDescent="0.3">
      <c r="I192" s="21"/>
      <c r="J192" s="13"/>
      <c r="L192" s="8">
        <f>Table1345678101112131415161718192021222324[[#This Row],[الدولار]]+(Table1345678101112131415161718192021222324[[#This Row],[اللبناني]]/90)</f>
        <v>0</v>
      </c>
      <c r="M192" s="6"/>
    </row>
    <row r="193" spans="9:13" s="8" customFormat="1" x14ac:dyDescent="0.3">
      <c r="I193" s="21"/>
      <c r="J193" s="13"/>
      <c r="L193" s="8">
        <f>Table1345678101112131415161718192021222324[[#This Row],[الدولار]]+(Table1345678101112131415161718192021222324[[#This Row],[اللبناني]]/90)</f>
        <v>0</v>
      </c>
      <c r="M193" s="6"/>
    </row>
    <row r="194" spans="9:13" s="8" customFormat="1" x14ac:dyDescent="0.3">
      <c r="I194" s="21"/>
      <c r="J194" s="13"/>
      <c r="L194" s="8">
        <f>Table1345678101112131415161718192021222324[[#This Row],[الدولار]]+(Table1345678101112131415161718192021222324[[#This Row],[اللبناني]]/90)</f>
        <v>0</v>
      </c>
      <c r="M194" s="6"/>
    </row>
    <row r="195" spans="9:13" s="8" customFormat="1" x14ac:dyDescent="0.3">
      <c r="I195" s="21"/>
      <c r="J195" s="13"/>
      <c r="L195" s="8">
        <f>Table1345678101112131415161718192021222324[[#This Row],[الدولار]]+(Table1345678101112131415161718192021222324[[#This Row],[اللبناني]]/90)</f>
        <v>0</v>
      </c>
      <c r="M195" s="6"/>
    </row>
    <row r="196" spans="9:13" s="8" customFormat="1" x14ac:dyDescent="0.3">
      <c r="I196" s="21"/>
      <c r="J196" s="13"/>
      <c r="L196" s="8">
        <f>Table1345678101112131415161718192021222324[[#This Row],[الدولار]]+(Table1345678101112131415161718192021222324[[#This Row],[اللبناني]]/90)</f>
        <v>0</v>
      </c>
      <c r="M196" s="6"/>
    </row>
    <row r="197" spans="9:13" s="8" customFormat="1" x14ac:dyDescent="0.3">
      <c r="I197" s="21"/>
      <c r="J197" s="13"/>
      <c r="L197" s="8">
        <f>Table1345678101112131415161718192021222324[[#This Row],[الدولار]]+(Table1345678101112131415161718192021222324[[#This Row],[اللبناني]]/90)</f>
        <v>0</v>
      </c>
      <c r="M197" s="6"/>
    </row>
    <row r="198" spans="9:13" s="8" customFormat="1" x14ac:dyDescent="0.3">
      <c r="I198" s="21"/>
      <c r="J198" s="13"/>
      <c r="L198" s="8">
        <f>Table1345678101112131415161718192021222324[[#This Row],[الدولار]]+(Table1345678101112131415161718192021222324[[#This Row],[اللبناني]]/90)</f>
        <v>0</v>
      </c>
      <c r="M198" s="6"/>
    </row>
    <row r="199" spans="9:13" s="8" customFormat="1" x14ac:dyDescent="0.3">
      <c r="I199" s="21"/>
      <c r="J199" s="13"/>
      <c r="L199" s="8">
        <f>Table1345678101112131415161718192021222324[[#This Row],[الدولار]]+(Table1345678101112131415161718192021222324[[#This Row],[اللبناني]]/90)</f>
        <v>0</v>
      </c>
      <c r="M199" s="6"/>
    </row>
    <row r="200" spans="9:13" s="8" customFormat="1" x14ac:dyDescent="0.3">
      <c r="I200" s="21"/>
      <c r="J200" s="13"/>
      <c r="L200" s="8">
        <f>Table1345678101112131415161718192021222324[[#This Row],[الدولار]]+(Table1345678101112131415161718192021222324[[#This Row],[اللبناني]]/90)</f>
        <v>0</v>
      </c>
      <c r="M200" s="6"/>
    </row>
    <row r="201" spans="9:13" s="8" customFormat="1" x14ac:dyDescent="0.3">
      <c r="I201" s="21"/>
      <c r="J201" s="13"/>
      <c r="L201" s="8">
        <f>Table1345678101112131415161718192021222324[[#This Row],[الدولار]]+(Table1345678101112131415161718192021222324[[#This Row],[اللبناني]]/90)</f>
        <v>0</v>
      </c>
      <c r="M201" s="6"/>
    </row>
    <row r="202" spans="9:13" s="8" customFormat="1" x14ac:dyDescent="0.3">
      <c r="I202" s="21"/>
      <c r="J202" s="13"/>
      <c r="L202" s="8">
        <f>Table1345678101112131415161718192021222324[[#This Row],[الدولار]]+(Table1345678101112131415161718192021222324[[#This Row],[اللبناني]]/90)</f>
        <v>0</v>
      </c>
      <c r="M202" s="6"/>
    </row>
    <row r="203" spans="9:13" s="8" customFormat="1" x14ac:dyDescent="0.3">
      <c r="I203" s="21"/>
      <c r="J203" s="13"/>
      <c r="L203" s="8">
        <f>Table1345678101112131415161718192021222324[[#This Row],[الدولار]]+(Table1345678101112131415161718192021222324[[#This Row],[اللبناني]]/90)</f>
        <v>0</v>
      </c>
      <c r="M203" s="6"/>
    </row>
    <row r="204" spans="9:13" s="8" customFormat="1" x14ac:dyDescent="0.3">
      <c r="I204" s="21"/>
      <c r="J204" s="13"/>
      <c r="L204" s="8">
        <f>Table1345678101112131415161718192021222324[[#This Row],[الدولار]]+(Table1345678101112131415161718192021222324[[#This Row],[اللبناني]]/90)</f>
        <v>0</v>
      </c>
      <c r="M204" s="6"/>
    </row>
    <row r="205" spans="9:13" s="8" customFormat="1" x14ac:dyDescent="0.3">
      <c r="I205" s="21"/>
      <c r="J205" s="13"/>
      <c r="L205" s="8">
        <f>Table1345678101112131415161718192021222324[[#This Row],[الدولار]]+(Table1345678101112131415161718192021222324[[#This Row],[اللبناني]]/90)</f>
        <v>0</v>
      </c>
      <c r="M205" s="6"/>
    </row>
    <row r="206" spans="9:13" s="8" customFormat="1" x14ac:dyDescent="0.3">
      <c r="I206" s="21"/>
      <c r="J206" s="13"/>
      <c r="L206" s="8">
        <f>Table1345678101112131415161718192021222324[[#This Row],[الدولار]]+(Table1345678101112131415161718192021222324[[#This Row],[اللبناني]]/90)</f>
        <v>0</v>
      </c>
      <c r="M206" s="6"/>
    </row>
    <row r="207" spans="9:13" s="8" customFormat="1" x14ac:dyDescent="0.3">
      <c r="I207" s="21"/>
      <c r="J207" s="13"/>
      <c r="L207" s="8">
        <f>Table1345678101112131415161718192021222324[[#This Row],[الدولار]]+(Table1345678101112131415161718192021222324[[#This Row],[اللبناني]]/90)</f>
        <v>0</v>
      </c>
      <c r="M207" s="6"/>
    </row>
    <row r="208" spans="9:13" s="8" customFormat="1" x14ac:dyDescent="0.3">
      <c r="I208" s="21"/>
      <c r="J208" s="13"/>
      <c r="L208" s="8">
        <f>Table1345678101112131415161718192021222324[[#This Row],[الدولار]]+(Table1345678101112131415161718192021222324[[#This Row],[اللبناني]]/90)</f>
        <v>0</v>
      </c>
      <c r="M208" s="6"/>
    </row>
    <row r="209" spans="9:13" s="8" customFormat="1" x14ac:dyDescent="0.3">
      <c r="I209" s="21"/>
      <c r="J209" s="13"/>
      <c r="L209" s="8">
        <f>Table1345678101112131415161718192021222324[[#This Row],[الدولار]]+(Table1345678101112131415161718192021222324[[#This Row],[اللبناني]]/90)</f>
        <v>0</v>
      </c>
      <c r="M209" s="6"/>
    </row>
    <row r="210" spans="9:13" s="8" customFormat="1" x14ac:dyDescent="0.3">
      <c r="I210" s="21"/>
      <c r="J210" s="13"/>
      <c r="L210" s="8">
        <f>Table1345678101112131415161718192021222324[[#This Row],[الدولار]]+(Table1345678101112131415161718192021222324[[#This Row],[اللبناني]]/90)</f>
        <v>0</v>
      </c>
      <c r="M210" s="6"/>
    </row>
    <row r="211" spans="9:13" s="8" customFormat="1" x14ac:dyDescent="0.3">
      <c r="I211" s="21"/>
      <c r="J211" s="13"/>
      <c r="L211" s="8">
        <f>Table1345678101112131415161718192021222324[[#This Row],[الدولار]]+(Table1345678101112131415161718192021222324[[#This Row],[اللبناني]]/90)</f>
        <v>0</v>
      </c>
      <c r="M211" s="6"/>
    </row>
    <row r="212" spans="9:13" s="8" customFormat="1" x14ac:dyDescent="0.3">
      <c r="I212" s="21"/>
      <c r="J212" s="13"/>
      <c r="L212" s="8">
        <f>Table1345678101112131415161718192021222324[[#This Row],[الدولار]]+(Table1345678101112131415161718192021222324[[#This Row],[اللبناني]]/90)</f>
        <v>0</v>
      </c>
      <c r="M212" s="6"/>
    </row>
    <row r="213" spans="9:13" s="8" customFormat="1" x14ac:dyDescent="0.3">
      <c r="I213" s="21"/>
      <c r="J213" s="13"/>
      <c r="L213" s="8">
        <f>Table1345678101112131415161718192021222324[[#This Row],[الدولار]]+(Table1345678101112131415161718192021222324[[#This Row],[اللبناني]]/90)</f>
        <v>0</v>
      </c>
      <c r="M213" s="6"/>
    </row>
    <row r="214" spans="9:13" s="8" customFormat="1" x14ac:dyDescent="0.3">
      <c r="I214" s="21"/>
      <c r="J214" s="13"/>
      <c r="L214" s="8">
        <f>Table1345678101112131415161718192021222324[[#This Row],[الدولار]]+(Table1345678101112131415161718192021222324[[#This Row],[اللبناني]]/90)</f>
        <v>0</v>
      </c>
      <c r="M214" s="6"/>
    </row>
    <row r="215" spans="9:13" s="8" customFormat="1" x14ac:dyDescent="0.3">
      <c r="I215" s="21"/>
      <c r="J215" s="13"/>
      <c r="L215" s="8">
        <f>Table1345678101112131415161718192021222324[[#This Row],[الدولار]]+(Table1345678101112131415161718192021222324[[#This Row],[اللبناني]]/90)</f>
        <v>0</v>
      </c>
      <c r="M215" s="6"/>
    </row>
    <row r="216" spans="9:13" s="8" customFormat="1" x14ac:dyDescent="0.3">
      <c r="I216" s="21"/>
      <c r="J216" s="13"/>
      <c r="L216" s="8">
        <f>Table1345678101112131415161718192021222324[[#This Row],[الدولار]]+(Table1345678101112131415161718192021222324[[#This Row],[اللبناني]]/90)</f>
        <v>0</v>
      </c>
      <c r="M216" s="6"/>
    </row>
    <row r="217" spans="9:13" s="8" customFormat="1" x14ac:dyDescent="0.3">
      <c r="I217" s="21"/>
      <c r="J217" s="13"/>
      <c r="L217" s="8">
        <f>Table1345678101112131415161718192021222324[[#This Row],[الدولار]]+(Table1345678101112131415161718192021222324[[#This Row],[اللبناني]]/90)</f>
        <v>0</v>
      </c>
      <c r="M217" s="6"/>
    </row>
    <row r="218" spans="9:13" s="8" customFormat="1" x14ac:dyDescent="0.3">
      <c r="I218" s="21"/>
      <c r="J218" s="13"/>
      <c r="L218" s="8">
        <f>Table1345678101112131415161718192021222324[[#This Row],[الدولار]]+(Table1345678101112131415161718192021222324[[#This Row],[اللبناني]]/90)</f>
        <v>0</v>
      </c>
      <c r="M218" s="6"/>
    </row>
    <row r="219" spans="9:13" s="8" customFormat="1" x14ac:dyDescent="0.3">
      <c r="I219" s="21"/>
      <c r="J219" s="13"/>
      <c r="L219" s="8">
        <f>Table1345678101112131415161718192021222324[[#This Row],[الدولار]]+(Table1345678101112131415161718192021222324[[#This Row],[اللبناني]]/90)</f>
        <v>0</v>
      </c>
      <c r="M219" s="6"/>
    </row>
    <row r="220" spans="9:13" s="8" customFormat="1" x14ac:dyDescent="0.3">
      <c r="I220" s="21"/>
      <c r="J220" s="13"/>
      <c r="L220" s="8">
        <f>Table1345678101112131415161718192021222324[[#This Row],[الدولار]]+(Table1345678101112131415161718192021222324[[#This Row],[اللبناني]]/90)</f>
        <v>0</v>
      </c>
      <c r="M220" s="6"/>
    </row>
    <row r="221" spans="9:13" s="8" customFormat="1" x14ac:dyDescent="0.3">
      <c r="I221" s="21"/>
      <c r="J221" s="13"/>
      <c r="L221" s="8">
        <f>Table1345678101112131415161718192021222324[[#This Row],[الدولار]]+(Table1345678101112131415161718192021222324[[#This Row],[اللبناني]]/90)</f>
        <v>0</v>
      </c>
      <c r="M221" s="6"/>
    </row>
    <row r="222" spans="9:13" s="8" customFormat="1" x14ac:dyDescent="0.3">
      <c r="I222" s="21"/>
      <c r="J222" s="13"/>
      <c r="L222" s="8">
        <f>Table1345678101112131415161718192021222324[[#This Row],[الدولار]]+(Table1345678101112131415161718192021222324[[#This Row],[اللبناني]]/90)</f>
        <v>0</v>
      </c>
      <c r="M222" s="6"/>
    </row>
    <row r="223" spans="9:13" s="8" customFormat="1" x14ac:dyDescent="0.3">
      <c r="I223" s="21"/>
      <c r="J223" s="13"/>
      <c r="L223" s="8">
        <f>Table1345678101112131415161718192021222324[[#This Row],[الدولار]]+(Table1345678101112131415161718192021222324[[#This Row],[اللبناني]]/90)</f>
        <v>0</v>
      </c>
      <c r="M223" s="6"/>
    </row>
    <row r="224" spans="9:13" s="8" customFormat="1" x14ac:dyDescent="0.3">
      <c r="I224" s="21"/>
      <c r="J224" s="13"/>
      <c r="L224" s="8">
        <f>Table1345678101112131415161718192021222324[[#This Row],[الدولار]]+(Table1345678101112131415161718192021222324[[#This Row],[اللبناني]]/90)</f>
        <v>0</v>
      </c>
      <c r="M224" s="6"/>
    </row>
    <row r="225" spans="9:13" s="8" customFormat="1" x14ac:dyDescent="0.3">
      <c r="I225" s="21"/>
      <c r="J225" s="13"/>
      <c r="L225" s="8">
        <f>Table1345678101112131415161718192021222324[[#This Row],[الدولار]]+(Table1345678101112131415161718192021222324[[#This Row],[اللبناني]]/90)</f>
        <v>0</v>
      </c>
      <c r="M225" s="6"/>
    </row>
    <row r="226" spans="9:13" s="8" customFormat="1" x14ac:dyDescent="0.3">
      <c r="I226" s="21"/>
      <c r="J226" s="13"/>
      <c r="L226" s="8">
        <f>Table1345678101112131415161718192021222324[[#This Row],[الدولار]]+(Table1345678101112131415161718192021222324[[#This Row],[اللبناني]]/90)</f>
        <v>0</v>
      </c>
      <c r="M226" s="6"/>
    </row>
    <row r="227" spans="9:13" s="8" customFormat="1" x14ac:dyDescent="0.3">
      <c r="I227" s="21"/>
      <c r="J227" s="13"/>
      <c r="L227" s="8">
        <f>Table1345678101112131415161718192021222324[[#This Row],[الدولار]]+(Table1345678101112131415161718192021222324[[#This Row],[اللبناني]]/90)</f>
        <v>0</v>
      </c>
      <c r="M227" s="6"/>
    </row>
    <row r="228" spans="9:13" s="8" customFormat="1" x14ac:dyDescent="0.3">
      <c r="I228" s="21"/>
      <c r="J228" s="13"/>
      <c r="L228" s="8">
        <f>Table1345678101112131415161718192021222324[[#This Row],[الدولار]]+(Table1345678101112131415161718192021222324[[#This Row],[اللبناني]]/90)</f>
        <v>0</v>
      </c>
      <c r="M228" s="6"/>
    </row>
    <row r="229" spans="9:13" s="8" customFormat="1" x14ac:dyDescent="0.3">
      <c r="I229" s="21"/>
      <c r="J229" s="13"/>
      <c r="L229" s="8">
        <f>Table1345678101112131415161718192021222324[[#This Row],[الدولار]]+(Table1345678101112131415161718192021222324[[#This Row],[اللبناني]]/90)</f>
        <v>0</v>
      </c>
      <c r="M229" s="6"/>
    </row>
    <row r="230" spans="9:13" s="8" customFormat="1" x14ac:dyDescent="0.3">
      <c r="I230" s="21"/>
      <c r="J230" s="13"/>
      <c r="L230" s="8">
        <f>Table1345678101112131415161718192021222324[[#This Row],[الدولار]]+(Table1345678101112131415161718192021222324[[#This Row],[اللبناني]]/90)</f>
        <v>0</v>
      </c>
      <c r="M230" s="6"/>
    </row>
    <row r="231" spans="9:13" s="8" customFormat="1" x14ac:dyDescent="0.3">
      <c r="I231" s="21"/>
      <c r="J231" s="13"/>
      <c r="L231" s="8">
        <f>Table1345678101112131415161718192021222324[[#This Row],[الدولار]]+(Table1345678101112131415161718192021222324[[#This Row],[اللبناني]]/90)</f>
        <v>0</v>
      </c>
      <c r="M231" s="6"/>
    </row>
    <row r="232" spans="9:13" s="8" customFormat="1" x14ac:dyDescent="0.3">
      <c r="I232" s="21"/>
      <c r="J232" s="13"/>
      <c r="L232" s="8">
        <f>Table1345678101112131415161718192021222324[[#This Row],[الدولار]]+(Table1345678101112131415161718192021222324[[#This Row],[اللبناني]]/90)</f>
        <v>0</v>
      </c>
      <c r="M232" s="6"/>
    </row>
    <row r="233" spans="9:13" s="8" customFormat="1" x14ac:dyDescent="0.3">
      <c r="I233" s="21"/>
      <c r="J233" s="13"/>
      <c r="L233" s="8">
        <f>Table1345678101112131415161718192021222324[[#This Row],[الدولار]]+(Table1345678101112131415161718192021222324[[#This Row],[اللبناني]]/90)</f>
        <v>0</v>
      </c>
      <c r="M233" s="6"/>
    </row>
    <row r="234" spans="9:13" s="8" customFormat="1" x14ac:dyDescent="0.3">
      <c r="I234" s="21"/>
      <c r="J234" s="13"/>
      <c r="L234" s="8">
        <f>Table1345678101112131415161718192021222324[[#This Row],[الدولار]]+(Table1345678101112131415161718192021222324[[#This Row],[اللبناني]]/90)</f>
        <v>0</v>
      </c>
      <c r="M234" s="6"/>
    </row>
    <row r="235" spans="9:13" s="8" customFormat="1" x14ac:dyDescent="0.3">
      <c r="I235" s="21"/>
      <c r="J235" s="13"/>
      <c r="L235" s="8">
        <f>Table1345678101112131415161718192021222324[[#This Row],[الدولار]]+(Table1345678101112131415161718192021222324[[#This Row],[اللبناني]]/90)</f>
        <v>0</v>
      </c>
      <c r="M235" s="6"/>
    </row>
    <row r="236" spans="9:13" s="8" customFormat="1" x14ac:dyDescent="0.3">
      <c r="I236" s="21"/>
      <c r="J236" s="13"/>
      <c r="L236" s="8">
        <f>Table1345678101112131415161718192021222324[[#This Row],[الدولار]]+(Table1345678101112131415161718192021222324[[#This Row],[اللبناني]]/90)</f>
        <v>0</v>
      </c>
      <c r="M236" s="6"/>
    </row>
    <row r="237" spans="9:13" s="8" customFormat="1" x14ac:dyDescent="0.3">
      <c r="I237" s="21"/>
      <c r="J237" s="13"/>
      <c r="L237" s="8">
        <f>Table1345678101112131415161718192021222324[[#This Row],[الدولار]]+(Table1345678101112131415161718192021222324[[#This Row],[اللبناني]]/90)</f>
        <v>0</v>
      </c>
      <c r="M237" s="6"/>
    </row>
    <row r="238" spans="9:13" s="8" customFormat="1" x14ac:dyDescent="0.3">
      <c r="I238" s="21"/>
      <c r="J238" s="13"/>
      <c r="L238" s="8">
        <f>Table1345678101112131415161718192021222324[[#This Row],[الدولار]]+(Table1345678101112131415161718192021222324[[#This Row],[اللبناني]]/90)</f>
        <v>0</v>
      </c>
      <c r="M238" s="6"/>
    </row>
    <row r="239" spans="9:13" s="8" customFormat="1" x14ac:dyDescent="0.3">
      <c r="I239" s="21"/>
      <c r="J239" s="13"/>
      <c r="L239" s="8">
        <f>Table1345678101112131415161718192021222324[[#This Row],[الدولار]]+(Table1345678101112131415161718192021222324[[#This Row],[اللبناني]]/90)</f>
        <v>0</v>
      </c>
      <c r="M239" s="6"/>
    </row>
    <row r="240" spans="9:13" s="8" customFormat="1" x14ac:dyDescent="0.3">
      <c r="I240" s="21"/>
      <c r="J240" s="13"/>
      <c r="L240" s="8">
        <f>Table1345678101112131415161718192021222324[[#This Row],[الدولار]]+(Table1345678101112131415161718192021222324[[#This Row],[اللبناني]]/90)</f>
        <v>0</v>
      </c>
      <c r="M240" s="6"/>
    </row>
    <row r="241" spans="9:13" s="8" customFormat="1" x14ac:dyDescent="0.3">
      <c r="I241" s="21"/>
      <c r="J241" s="13"/>
      <c r="L241" s="8">
        <f>Table1345678101112131415161718192021222324[[#This Row],[الدولار]]+(Table1345678101112131415161718192021222324[[#This Row],[اللبناني]]/90)</f>
        <v>0</v>
      </c>
      <c r="M241" s="6"/>
    </row>
    <row r="242" spans="9:13" s="8" customFormat="1" x14ac:dyDescent="0.3">
      <c r="I242" s="21"/>
      <c r="J242" s="13"/>
      <c r="L242" s="8">
        <f>Table1345678101112131415161718192021222324[[#This Row],[الدولار]]+(Table1345678101112131415161718192021222324[[#This Row],[اللبناني]]/90)</f>
        <v>0</v>
      </c>
      <c r="M242" s="6"/>
    </row>
    <row r="243" spans="9:13" s="8" customFormat="1" x14ac:dyDescent="0.3">
      <c r="I243" s="21"/>
      <c r="J243" s="13"/>
      <c r="L243" s="8">
        <f>Table1345678101112131415161718192021222324[[#This Row],[الدولار]]+(Table1345678101112131415161718192021222324[[#This Row],[اللبناني]]/90)</f>
        <v>0</v>
      </c>
      <c r="M243" s="6"/>
    </row>
    <row r="244" spans="9:13" s="8" customFormat="1" x14ac:dyDescent="0.3">
      <c r="I244" s="21"/>
      <c r="J244" s="13"/>
      <c r="L244" s="8">
        <f>Table1345678101112131415161718192021222324[[#This Row],[الدولار]]+(Table1345678101112131415161718192021222324[[#This Row],[اللبناني]]/90)</f>
        <v>0</v>
      </c>
      <c r="M244" s="6"/>
    </row>
    <row r="245" spans="9:13" s="8" customFormat="1" x14ac:dyDescent="0.3">
      <c r="I245" s="21"/>
      <c r="J245" s="13"/>
      <c r="L245" s="8">
        <f>Table1345678101112131415161718192021222324[[#This Row],[الدولار]]+(Table1345678101112131415161718192021222324[[#This Row],[اللبناني]]/90)</f>
        <v>0</v>
      </c>
      <c r="M245" s="6"/>
    </row>
    <row r="246" spans="9:13" s="8" customFormat="1" x14ac:dyDescent="0.3">
      <c r="I246" s="21"/>
      <c r="J246" s="13"/>
      <c r="L246" s="8">
        <f>Table1345678101112131415161718192021222324[[#This Row],[الدولار]]+(Table1345678101112131415161718192021222324[[#This Row],[اللبناني]]/90)</f>
        <v>0</v>
      </c>
      <c r="M246" s="6"/>
    </row>
    <row r="247" spans="9:13" s="8" customFormat="1" x14ac:dyDescent="0.3">
      <c r="I247" s="21"/>
      <c r="J247" s="13"/>
      <c r="L247" s="8">
        <f>Table1345678101112131415161718192021222324[[#This Row],[الدولار]]+(Table1345678101112131415161718192021222324[[#This Row],[اللبناني]]/90)</f>
        <v>0</v>
      </c>
      <c r="M247" s="6"/>
    </row>
    <row r="248" spans="9:13" s="8" customFormat="1" x14ac:dyDescent="0.3">
      <c r="I248" s="21"/>
      <c r="J248" s="13"/>
      <c r="L248" s="8">
        <f>Table1345678101112131415161718192021222324[[#This Row],[الدولار]]+(Table1345678101112131415161718192021222324[[#This Row],[اللبناني]]/90)</f>
        <v>0</v>
      </c>
      <c r="M248" s="6"/>
    </row>
    <row r="249" spans="9:13" s="8" customFormat="1" x14ac:dyDescent="0.3">
      <c r="I249" s="21"/>
      <c r="J249" s="13"/>
      <c r="L249" s="8">
        <f>Table1345678101112131415161718192021222324[[#This Row],[الدولار]]+(Table1345678101112131415161718192021222324[[#This Row],[اللبناني]]/90)</f>
        <v>0</v>
      </c>
      <c r="M249" s="6"/>
    </row>
    <row r="250" spans="9:13" s="8" customFormat="1" x14ac:dyDescent="0.3">
      <c r="I250" s="21"/>
      <c r="J250" s="13"/>
      <c r="L250" s="8">
        <f>Table1345678101112131415161718192021222324[[#This Row],[الدولار]]+(Table1345678101112131415161718192021222324[[#This Row],[اللبناني]]/90)</f>
        <v>0</v>
      </c>
      <c r="M250" s="6"/>
    </row>
    <row r="251" spans="9:13" s="8" customFormat="1" x14ac:dyDescent="0.3">
      <c r="I251" s="21"/>
      <c r="J251" s="13"/>
      <c r="L251" s="8">
        <f>Table1345678101112131415161718192021222324[[#This Row],[الدولار]]+(Table1345678101112131415161718192021222324[[#This Row],[اللبناني]]/90)</f>
        <v>0</v>
      </c>
      <c r="M251" s="6"/>
    </row>
    <row r="252" spans="9:13" s="8" customFormat="1" x14ac:dyDescent="0.3">
      <c r="I252" s="21"/>
      <c r="J252" s="13"/>
      <c r="L252" s="8">
        <f>Table1345678101112131415161718192021222324[[#This Row],[الدولار]]+(Table1345678101112131415161718192021222324[[#This Row],[اللبناني]]/90)</f>
        <v>0</v>
      </c>
      <c r="M252" s="6"/>
    </row>
    <row r="253" spans="9:13" s="8" customFormat="1" x14ac:dyDescent="0.3">
      <c r="I253" s="21"/>
      <c r="J253" s="13"/>
      <c r="L253" s="8">
        <f>Table1345678101112131415161718192021222324[[#This Row],[الدولار]]+(Table1345678101112131415161718192021222324[[#This Row],[اللبناني]]/90)</f>
        <v>0</v>
      </c>
      <c r="M253" s="6"/>
    </row>
    <row r="254" spans="9:13" s="8" customFormat="1" x14ac:dyDescent="0.3">
      <c r="I254" s="21"/>
      <c r="J254" s="13"/>
      <c r="L254" s="8">
        <f>Table1345678101112131415161718192021222324[[#This Row],[الدولار]]+(Table1345678101112131415161718192021222324[[#This Row],[اللبناني]]/90)</f>
        <v>0</v>
      </c>
      <c r="M254" s="6"/>
    </row>
    <row r="255" spans="9:13" s="8" customFormat="1" x14ac:dyDescent="0.3">
      <c r="I255" s="21"/>
      <c r="J255" s="13"/>
      <c r="L255" s="8">
        <f>Table1345678101112131415161718192021222324[[#This Row],[الدولار]]+(Table1345678101112131415161718192021222324[[#This Row],[اللبناني]]/90)</f>
        <v>0</v>
      </c>
      <c r="M255" s="6"/>
    </row>
    <row r="256" spans="9:13" s="8" customFormat="1" x14ac:dyDescent="0.3">
      <c r="I256" s="21"/>
      <c r="J256" s="13"/>
      <c r="L256" s="8">
        <f>Table1345678101112131415161718192021222324[[#This Row],[الدولار]]+(Table1345678101112131415161718192021222324[[#This Row],[اللبناني]]/90)</f>
        <v>0</v>
      </c>
      <c r="M256" s="6"/>
    </row>
    <row r="257" spans="9:13" s="8" customFormat="1" x14ac:dyDescent="0.3">
      <c r="I257" s="21"/>
      <c r="J257" s="13"/>
      <c r="L257" s="8">
        <f>Table1345678101112131415161718192021222324[[#This Row],[الدولار]]+(Table1345678101112131415161718192021222324[[#This Row],[اللبناني]]/90)</f>
        <v>0</v>
      </c>
      <c r="M257" s="6"/>
    </row>
    <row r="258" spans="9:13" s="8" customFormat="1" x14ac:dyDescent="0.3">
      <c r="I258" s="21"/>
      <c r="J258" s="13"/>
      <c r="L258" s="8">
        <f>Table1345678101112131415161718192021222324[[#This Row],[الدولار]]+(Table1345678101112131415161718192021222324[[#This Row],[اللبناني]]/90)</f>
        <v>0</v>
      </c>
      <c r="M258" s="6"/>
    </row>
    <row r="259" spans="9:13" s="8" customFormat="1" x14ac:dyDescent="0.3">
      <c r="I259" s="21"/>
      <c r="J259" s="13"/>
      <c r="L259" s="8">
        <f>Table1345678101112131415161718192021222324[[#This Row],[الدولار]]+(Table1345678101112131415161718192021222324[[#This Row],[اللبناني]]/90)</f>
        <v>0</v>
      </c>
      <c r="M259" s="6"/>
    </row>
    <row r="260" spans="9:13" s="8" customFormat="1" x14ac:dyDescent="0.3">
      <c r="I260" s="21"/>
      <c r="J260" s="13"/>
      <c r="L260" s="8">
        <f>Table1345678101112131415161718192021222324[[#This Row],[الدولار]]+(Table1345678101112131415161718192021222324[[#This Row],[اللبناني]]/90)</f>
        <v>0</v>
      </c>
      <c r="M260" s="6"/>
    </row>
    <row r="261" spans="9:13" s="8" customFormat="1" x14ac:dyDescent="0.3">
      <c r="I261" s="21"/>
      <c r="J261" s="13"/>
      <c r="L261" s="8">
        <f>Table1345678101112131415161718192021222324[[#This Row],[الدولار]]+(Table1345678101112131415161718192021222324[[#This Row],[اللبناني]]/90)</f>
        <v>0</v>
      </c>
      <c r="M261" s="6"/>
    </row>
    <row r="262" spans="9:13" s="8" customFormat="1" x14ac:dyDescent="0.3">
      <c r="I262" s="21"/>
      <c r="J262" s="13"/>
      <c r="L262" s="8">
        <f>Table1345678101112131415161718192021222324[[#This Row],[الدولار]]+(Table1345678101112131415161718192021222324[[#This Row],[اللبناني]]/90)</f>
        <v>0</v>
      </c>
      <c r="M262" s="6"/>
    </row>
    <row r="263" spans="9:13" s="8" customFormat="1" x14ac:dyDescent="0.3">
      <c r="I263" s="21"/>
      <c r="J263" s="13"/>
      <c r="L263" s="8">
        <f>Table1345678101112131415161718192021222324[[#This Row],[الدولار]]+(Table1345678101112131415161718192021222324[[#This Row],[اللبناني]]/90)</f>
        <v>0</v>
      </c>
      <c r="M263" s="6"/>
    </row>
    <row r="264" spans="9:13" s="8" customFormat="1" x14ac:dyDescent="0.3">
      <c r="I264" s="21"/>
      <c r="J264" s="13"/>
      <c r="L264" s="8">
        <f>Table1345678101112131415161718192021222324[[#This Row],[الدولار]]+(Table1345678101112131415161718192021222324[[#This Row],[اللبناني]]/90)</f>
        <v>0</v>
      </c>
      <c r="M264" s="6"/>
    </row>
    <row r="265" spans="9:13" s="8" customFormat="1" x14ac:dyDescent="0.3">
      <c r="I265" s="21"/>
      <c r="J265" s="13"/>
      <c r="L265" s="8">
        <f>Table1345678101112131415161718192021222324[[#This Row],[الدولار]]+(Table1345678101112131415161718192021222324[[#This Row],[اللبناني]]/90)</f>
        <v>0</v>
      </c>
      <c r="M265" s="6"/>
    </row>
    <row r="266" spans="9:13" s="8" customFormat="1" x14ac:dyDescent="0.3">
      <c r="I266" s="21"/>
      <c r="J266" s="13"/>
      <c r="L266" s="8">
        <f>Table1345678101112131415161718192021222324[[#This Row],[الدولار]]+(Table1345678101112131415161718192021222324[[#This Row],[اللبناني]]/90)</f>
        <v>0</v>
      </c>
      <c r="M266" s="6"/>
    </row>
    <row r="267" spans="9:13" s="8" customFormat="1" x14ac:dyDescent="0.3">
      <c r="I267" s="21"/>
      <c r="J267" s="13"/>
      <c r="L267" s="8">
        <f>Table1345678101112131415161718192021222324[[#This Row],[الدولار]]+(Table1345678101112131415161718192021222324[[#This Row],[اللبناني]]/90)</f>
        <v>0</v>
      </c>
      <c r="M267" s="6"/>
    </row>
    <row r="268" spans="9:13" s="8" customFormat="1" x14ac:dyDescent="0.3">
      <c r="I268" s="21"/>
      <c r="J268" s="13"/>
      <c r="L268" s="8">
        <f>Table1345678101112131415161718192021222324[[#This Row],[الدولار]]+(Table1345678101112131415161718192021222324[[#This Row],[اللبناني]]/90)</f>
        <v>0</v>
      </c>
      <c r="M268" s="6"/>
    </row>
    <row r="269" spans="9:13" s="8" customFormat="1" x14ac:dyDescent="0.3">
      <c r="I269" s="21"/>
      <c r="J269" s="13"/>
      <c r="L269" s="8">
        <f>Table1345678101112131415161718192021222324[[#This Row],[الدولار]]+(Table1345678101112131415161718192021222324[[#This Row],[اللبناني]]/90)</f>
        <v>0</v>
      </c>
      <c r="M269" s="6"/>
    </row>
    <row r="270" spans="9:13" s="8" customFormat="1" x14ac:dyDescent="0.3">
      <c r="I270" s="21"/>
      <c r="J270" s="13"/>
      <c r="L270" s="8">
        <f>Table1345678101112131415161718192021222324[[#This Row],[الدولار]]+(Table1345678101112131415161718192021222324[[#This Row],[اللبناني]]/90)</f>
        <v>0</v>
      </c>
      <c r="M270" s="6"/>
    </row>
    <row r="271" spans="9:13" s="8" customFormat="1" x14ac:dyDescent="0.3">
      <c r="I271" s="21"/>
      <c r="J271" s="13"/>
      <c r="L271" s="8">
        <f>Table1345678101112131415161718192021222324[[#This Row],[الدولار]]+(Table1345678101112131415161718192021222324[[#This Row],[اللبناني]]/90)</f>
        <v>0</v>
      </c>
      <c r="M271" s="6"/>
    </row>
    <row r="272" spans="9:13" s="8" customFormat="1" x14ac:dyDescent="0.3">
      <c r="I272" s="21"/>
      <c r="J272" s="13"/>
      <c r="L272" s="8">
        <f>Table1345678101112131415161718192021222324[[#This Row],[الدولار]]+(Table1345678101112131415161718192021222324[[#This Row],[اللبناني]]/90)</f>
        <v>0</v>
      </c>
      <c r="M272" s="6"/>
    </row>
    <row r="273" spans="9:13" s="8" customFormat="1" x14ac:dyDescent="0.3">
      <c r="I273" s="21"/>
      <c r="J273" s="13"/>
      <c r="L273" s="8">
        <f>Table1345678101112131415161718192021222324[[#This Row],[الدولار]]+(Table1345678101112131415161718192021222324[[#This Row],[اللبناني]]/90)</f>
        <v>0</v>
      </c>
      <c r="M273" s="6"/>
    </row>
    <row r="274" spans="9:13" s="8" customFormat="1" x14ac:dyDescent="0.3">
      <c r="I274" s="21"/>
      <c r="J274" s="13"/>
      <c r="L274" s="8">
        <f>Table1345678101112131415161718192021222324[[#This Row],[الدولار]]+(Table1345678101112131415161718192021222324[[#This Row],[اللبناني]]/90)</f>
        <v>0</v>
      </c>
      <c r="M274" s="6"/>
    </row>
    <row r="275" spans="9:13" s="8" customFormat="1" x14ac:dyDescent="0.3">
      <c r="I275" s="21"/>
      <c r="J275" s="13"/>
      <c r="L275" s="8">
        <f>Table1345678101112131415161718192021222324[[#This Row],[الدولار]]+(Table1345678101112131415161718192021222324[[#This Row],[اللبناني]]/90)</f>
        <v>0</v>
      </c>
      <c r="M275" s="6"/>
    </row>
    <row r="276" spans="9:13" s="8" customFormat="1" x14ac:dyDescent="0.3">
      <c r="I276" s="21"/>
      <c r="J276" s="13"/>
      <c r="L276" s="8">
        <f>Table1345678101112131415161718192021222324[[#This Row],[الدولار]]+(Table1345678101112131415161718192021222324[[#This Row],[اللبناني]]/90)</f>
        <v>0</v>
      </c>
      <c r="M276" s="6"/>
    </row>
    <row r="277" spans="9:13" s="8" customFormat="1" x14ac:dyDescent="0.3">
      <c r="I277" s="21"/>
      <c r="J277" s="13"/>
      <c r="L277" s="8">
        <f>Table1345678101112131415161718192021222324[[#This Row],[الدولار]]+(Table1345678101112131415161718192021222324[[#This Row],[اللبناني]]/90)</f>
        <v>0</v>
      </c>
      <c r="M277" s="6"/>
    </row>
    <row r="278" spans="9:13" s="8" customFormat="1" x14ac:dyDescent="0.3">
      <c r="I278" s="21"/>
      <c r="J278" s="13"/>
      <c r="L278" s="8">
        <f>Table1345678101112131415161718192021222324[[#This Row],[الدولار]]+(Table1345678101112131415161718192021222324[[#This Row],[اللبناني]]/90)</f>
        <v>0</v>
      </c>
      <c r="M278" s="6"/>
    </row>
    <row r="279" spans="9:13" s="8" customFormat="1" x14ac:dyDescent="0.3">
      <c r="I279" s="21"/>
      <c r="J279" s="13"/>
      <c r="L279" s="8">
        <f>Table1345678101112131415161718192021222324[[#This Row],[الدولار]]+(Table1345678101112131415161718192021222324[[#This Row],[اللبناني]]/90)</f>
        <v>0</v>
      </c>
      <c r="M279" s="6"/>
    </row>
    <row r="280" spans="9:13" s="8" customFormat="1" x14ac:dyDescent="0.3">
      <c r="I280" s="21"/>
      <c r="J280" s="13"/>
      <c r="L280" s="8">
        <f>Table1345678101112131415161718192021222324[[#This Row],[الدولار]]+(Table1345678101112131415161718192021222324[[#This Row],[اللبناني]]/90)</f>
        <v>0</v>
      </c>
      <c r="M280" s="6"/>
    </row>
    <row r="281" spans="9:13" s="8" customFormat="1" x14ac:dyDescent="0.3">
      <c r="I281" s="21"/>
      <c r="J281" s="13"/>
      <c r="L281" s="8">
        <f>Table1345678101112131415161718192021222324[[#This Row],[الدولار]]+(Table1345678101112131415161718192021222324[[#This Row],[اللبناني]]/90)</f>
        <v>0</v>
      </c>
      <c r="M281" s="6"/>
    </row>
    <row r="282" spans="9:13" s="8" customFormat="1" x14ac:dyDescent="0.3">
      <c r="I282" s="21"/>
      <c r="J282" s="13"/>
      <c r="L282" s="8">
        <f>Table1345678101112131415161718192021222324[[#This Row],[الدولار]]+(Table1345678101112131415161718192021222324[[#This Row],[اللبناني]]/90)</f>
        <v>0</v>
      </c>
      <c r="M282" s="6"/>
    </row>
    <row r="283" spans="9:13" s="8" customFormat="1" x14ac:dyDescent="0.3">
      <c r="I283" s="21"/>
      <c r="J283" s="13"/>
      <c r="L283" s="8">
        <f>Table1345678101112131415161718192021222324[[#This Row],[الدولار]]+(Table1345678101112131415161718192021222324[[#This Row],[اللبناني]]/90)</f>
        <v>0</v>
      </c>
      <c r="M283" s="6"/>
    </row>
    <row r="284" spans="9:13" s="8" customFormat="1" x14ac:dyDescent="0.3">
      <c r="I284" s="21"/>
      <c r="J284" s="13"/>
      <c r="L284" s="8">
        <f>Table1345678101112131415161718192021222324[[#This Row],[الدولار]]+(Table1345678101112131415161718192021222324[[#This Row],[اللبناني]]/90)</f>
        <v>0</v>
      </c>
      <c r="M284" s="6"/>
    </row>
    <row r="285" spans="9:13" s="8" customFormat="1" x14ac:dyDescent="0.3">
      <c r="I285" s="21"/>
      <c r="J285" s="13"/>
      <c r="L285" s="8">
        <f>Table1345678101112131415161718192021222324[[#This Row],[الدولار]]+(Table1345678101112131415161718192021222324[[#This Row],[اللبناني]]/90)</f>
        <v>0</v>
      </c>
      <c r="M285" s="6"/>
    </row>
    <row r="286" spans="9:13" s="8" customFormat="1" x14ac:dyDescent="0.3">
      <c r="I286" s="21"/>
      <c r="J286" s="13"/>
      <c r="L286" s="8">
        <f>Table1345678101112131415161718192021222324[[#This Row],[الدولار]]+(Table1345678101112131415161718192021222324[[#This Row],[اللبناني]]/90)</f>
        <v>0</v>
      </c>
      <c r="M286" s="6"/>
    </row>
    <row r="287" spans="9:13" s="8" customFormat="1" x14ac:dyDescent="0.3">
      <c r="I287" s="21"/>
      <c r="J287" s="13"/>
      <c r="L287" s="8">
        <f>Table1345678101112131415161718192021222324[[#This Row],[الدولار]]+(Table1345678101112131415161718192021222324[[#This Row],[اللبناني]]/90)</f>
        <v>0</v>
      </c>
      <c r="M287" s="6"/>
    </row>
    <row r="288" spans="9:13" s="8" customFormat="1" x14ac:dyDescent="0.3">
      <c r="I288" s="21"/>
      <c r="J288" s="13"/>
      <c r="L288" s="8">
        <f>Table1345678101112131415161718192021222324[[#This Row],[الدولار]]+(Table1345678101112131415161718192021222324[[#This Row],[اللبناني]]/90)</f>
        <v>0</v>
      </c>
      <c r="M288" s="6"/>
    </row>
    <row r="289" spans="9:13" s="8" customFormat="1" x14ac:dyDescent="0.3">
      <c r="I289" s="21"/>
      <c r="J289" s="13"/>
      <c r="L289" s="8">
        <f>Table1345678101112131415161718192021222324[[#This Row],[الدولار]]+(Table1345678101112131415161718192021222324[[#This Row],[اللبناني]]/90)</f>
        <v>0</v>
      </c>
      <c r="M289" s="6"/>
    </row>
    <row r="290" spans="9:13" s="8" customFormat="1" x14ac:dyDescent="0.3">
      <c r="I290" s="21"/>
      <c r="J290" s="13"/>
      <c r="L290" s="8">
        <f>Table1345678101112131415161718192021222324[[#This Row],[الدولار]]+(Table1345678101112131415161718192021222324[[#This Row],[اللبناني]]/90)</f>
        <v>0</v>
      </c>
      <c r="M290" s="6"/>
    </row>
    <row r="291" spans="9:13" s="8" customFormat="1" x14ac:dyDescent="0.3">
      <c r="I291" s="21"/>
      <c r="J291" s="13"/>
      <c r="L291" s="8">
        <f>Table1345678101112131415161718192021222324[[#This Row],[الدولار]]+(Table1345678101112131415161718192021222324[[#This Row],[اللبناني]]/90)</f>
        <v>0</v>
      </c>
      <c r="M291" s="6"/>
    </row>
    <row r="292" spans="9:13" s="8" customFormat="1" x14ac:dyDescent="0.3">
      <c r="I292" s="21"/>
      <c r="J292" s="13"/>
      <c r="L292" s="8">
        <f>Table1345678101112131415161718192021222324[[#This Row],[الدولار]]+(Table1345678101112131415161718192021222324[[#This Row],[اللبناني]]/90)</f>
        <v>0</v>
      </c>
      <c r="M292" s="6"/>
    </row>
    <row r="293" spans="9:13" s="8" customFormat="1" x14ac:dyDescent="0.3">
      <c r="I293" s="21"/>
      <c r="J293" s="13"/>
      <c r="L293" s="8">
        <f>Table1345678101112131415161718192021222324[[#This Row],[الدولار]]+(Table1345678101112131415161718192021222324[[#This Row],[اللبناني]]/90)</f>
        <v>0</v>
      </c>
      <c r="M293" s="6"/>
    </row>
    <row r="294" spans="9:13" s="8" customFormat="1" x14ac:dyDescent="0.3">
      <c r="I294" s="21"/>
      <c r="J294" s="13"/>
      <c r="L294" s="8">
        <f>Table1345678101112131415161718192021222324[[#This Row],[الدولار]]+(Table1345678101112131415161718192021222324[[#This Row],[اللبناني]]/90)</f>
        <v>0</v>
      </c>
      <c r="M294" s="6"/>
    </row>
    <row r="295" spans="9:13" s="8" customFormat="1" x14ac:dyDescent="0.3">
      <c r="I295" s="21"/>
      <c r="J295" s="13"/>
      <c r="L295" s="8">
        <f>Table1345678101112131415161718192021222324[[#This Row],[الدولار]]+(Table1345678101112131415161718192021222324[[#This Row],[اللبناني]]/90)</f>
        <v>0</v>
      </c>
      <c r="M295" s="6"/>
    </row>
    <row r="296" spans="9:13" s="8" customFormat="1" x14ac:dyDescent="0.3">
      <c r="I296" s="21"/>
      <c r="J296" s="13"/>
      <c r="L296" s="8">
        <f>Table1345678101112131415161718192021222324[[#This Row],[الدولار]]+(Table1345678101112131415161718192021222324[[#This Row],[اللبناني]]/90)</f>
        <v>0</v>
      </c>
      <c r="M296" s="6"/>
    </row>
    <row r="297" spans="9:13" s="8" customFormat="1" x14ac:dyDescent="0.3">
      <c r="I297" s="21"/>
      <c r="J297" s="13"/>
      <c r="L297" s="8">
        <f>Table1345678101112131415161718192021222324[[#This Row],[الدولار]]+(Table1345678101112131415161718192021222324[[#This Row],[اللبناني]]/90)</f>
        <v>0</v>
      </c>
      <c r="M297" s="6"/>
    </row>
    <row r="298" spans="9:13" s="8" customFormat="1" x14ac:dyDescent="0.3">
      <c r="I298" s="21"/>
      <c r="J298" s="13"/>
      <c r="L298" s="8">
        <f>Table1345678101112131415161718192021222324[[#This Row],[الدولار]]+(Table1345678101112131415161718192021222324[[#This Row],[اللبناني]]/90)</f>
        <v>0</v>
      </c>
      <c r="M298" s="6"/>
    </row>
    <row r="299" spans="9:13" s="8" customFormat="1" x14ac:dyDescent="0.3">
      <c r="I299" s="21"/>
      <c r="J299" s="13"/>
      <c r="L299" s="8">
        <f>Table1345678101112131415161718192021222324[[#This Row],[الدولار]]+(Table1345678101112131415161718192021222324[[#This Row],[اللبناني]]/90)</f>
        <v>0</v>
      </c>
      <c r="M299" s="6"/>
    </row>
    <row r="300" spans="9:13" s="8" customFormat="1" x14ac:dyDescent="0.3">
      <c r="I300" s="21"/>
      <c r="J300" s="13"/>
      <c r="L300" s="8">
        <f>Table1345678101112131415161718192021222324[[#This Row],[الدولار]]+(Table1345678101112131415161718192021222324[[#This Row],[اللبناني]]/90)</f>
        <v>0</v>
      </c>
      <c r="M300" s="6"/>
    </row>
    <row r="301" spans="9:13" s="8" customFormat="1" x14ac:dyDescent="0.3">
      <c r="I301" s="21"/>
      <c r="J301" s="13"/>
      <c r="L301" s="8">
        <f>Table1345678101112131415161718192021222324[[#This Row],[الدولار]]+(Table1345678101112131415161718192021222324[[#This Row],[اللبناني]]/90)</f>
        <v>0</v>
      </c>
      <c r="M301" s="6"/>
    </row>
    <row r="302" spans="9:13" s="8" customFormat="1" x14ac:dyDescent="0.3">
      <c r="I302" s="21"/>
      <c r="J302" s="13"/>
      <c r="L302" s="8">
        <f>Table1345678101112131415161718192021222324[[#This Row],[الدولار]]+(Table1345678101112131415161718192021222324[[#This Row],[اللبناني]]/90)</f>
        <v>0</v>
      </c>
      <c r="M302" s="6"/>
    </row>
    <row r="303" spans="9:13" s="8" customFormat="1" x14ac:dyDescent="0.3">
      <c r="I303" s="21"/>
      <c r="J303" s="13"/>
      <c r="L303" s="8">
        <f>Table1345678101112131415161718192021222324[[#This Row],[الدولار]]+(Table1345678101112131415161718192021222324[[#This Row],[اللبناني]]/90)</f>
        <v>0</v>
      </c>
      <c r="M303" s="6"/>
    </row>
    <row r="304" spans="9:13" s="8" customFormat="1" x14ac:dyDescent="0.3">
      <c r="I304" s="21"/>
      <c r="J304" s="13"/>
      <c r="L304" s="8">
        <f>Table1345678101112131415161718192021222324[[#This Row],[الدولار]]+(Table1345678101112131415161718192021222324[[#This Row],[اللبناني]]/90)</f>
        <v>0</v>
      </c>
      <c r="M304" s="6"/>
    </row>
    <row r="305" spans="9:13" s="8" customFormat="1" x14ac:dyDescent="0.3">
      <c r="I305" s="21"/>
      <c r="J305" s="13"/>
      <c r="L305" s="8">
        <f>Table1345678101112131415161718192021222324[[#This Row],[الدولار]]+(Table1345678101112131415161718192021222324[[#This Row],[اللبناني]]/90)</f>
        <v>0</v>
      </c>
      <c r="M305" s="6"/>
    </row>
    <row r="306" spans="9:13" s="8" customFormat="1" x14ac:dyDescent="0.3">
      <c r="I306" s="21"/>
      <c r="J306" s="13"/>
      <c r="L306" s="8">
        <f>Table1345678101112131415161718192021222324[[#This Row],[الدولار]]+(Table1345678101112131415161718192021222324[[#This Row],[اللبناني]]/90)</f>
        <v>0</v>
      </c>
      <c r="M306" s="6"/>
    </row>
    <row r="307" spans="9:13" s="8" customFormat="1" x14ac:dyDescent="0.3">
      <c r="I307" s="21"/>
      <c r="J307" s="13"/>
      <c r="L307" s="8">
        <f>Table1345678101112131415161718192021222324[[#This Row],[الدولار]]+(Table1345678101112131415161718192021222324[[#This Row],[اللبناني]]/90)</f>
        <v>0</v>
      </c>
      <c r="M307" s="6"/>
    </row>
    <row r="308" spans="9:13" s="8" customFormat="1" x14ac:dyDescent="0.3">
      <c r="I308" s="21"/>
      <c r="J308" s="13"/>
      <c r="L308" s="8">
        <f>Table1345678101112131415161718192021222324[[#This Row],[الدولار]]+(Table1345678101112131415161718192021222324[[#This Row],[اللبناني]]/90)</f>
        <v>0</v>
      </c>
      <c r="M308" s="6"/>
    </row>
    <row r="309" spans="9:13" s="8" customFormat="1" x14ac:dyDescent="0.3">
      <c r="I309" s="21"/>
      <c r="J309" s="13"/>
      <c r="L309" s="8">
        <f>Table1345678101112131415161718192021222324[[#This Row],[الدولار]]+(Table1345678101112131415161718192021222324[[#This Row],[اللبناني]]/90)</f>
        <v>0</v>
      </c>
      <c r="M309" s="6"/>
    </row>
    <row r="310" spans="9:13" s="8" customFormat="1" x14ac:dyDescent="0.3">
      <c r="I310" s="21"/>
      <c r="J310" s="13"/>
      <c r="L310" s="8">
        <f>Table1345678101112131415161718192021222324[[#This Row],[الدولار]]+(Table1345678101112131415161718192021222324[[#This Row],[اللبناني]]/90)</f>
        <v>0</v>
      </c>
      <c r="M310" s="6"/>
    </row>
    <row r="311" spans="9:13" s="8" customFormat="1" x14ac:dyDescent="0.3">
      <c r="I311" s="21"/>
      <c r="J311" s="13"/>
      <c r="L311" s="8">
        <f>Table1345678101112131415161718192021222324[[#This Row],[الدولار]]+(Table1345678101112131415161718192021222324[[#This Row],[اللبناني]]/90)</f>
        <v>0</v>
      </c>
      <c r="M311" s="6"/>
    </row>
    <row r="312" spans="9:13" s="8" customFormat="1" x14ac:dyDescent="0.3">
      <c r="I312" s="21"/>
      <c r="J312" s="13"/>
      <c r="L312" s="8">
        <f>Table1345678101112131415161718192021222324[[#This Row],[الدولار]]+(Table1345678101112131415161718192021222324[[#This Row],[اللبناني]]/90)</f>
        <v>0</v>
      </c>
      <c r="M312" s="6"/>
    </row>
    <row r="313" spans="9:13" s="8" customFormat="1" x14ac:dyDescent="0.3">
      <c r="I313" s="21"/>
      <c r="J313" s="13"/>
      <c r="L313" s="8">
        <f>Table1345678101112131415161718192021222324[[#This Row],[الدولار]]+(Table1345678101112131415161718192021222324[[#This Row],[اللبناني]]/90)</f>
        <v>0</v>
      </c>
      <c r="M313" s="6"/>
    </row>
    <row r="314" spans="9:13" s="8" customFormat="1" x14ac:dyDescent="0.3">
      <c r="I314" s="21"/>
      <c r="J314" s="13"/>
      <c r="L314" s="8">
        <f>Table1345678101112131415161718192021222324[[#This Row],[الدولار]]+(Table1345678101112131415161718192021222324[[#This Row],[اللبناني]]/90)</f>
        <v>0</v>
      </c>
      <c r="M314" s="6"/>
    </row>
    <row r="315" spans="9:13" s="8" customFormat="1" x14ac:dyDescent="0.3">
      <c r="I315" s="21"/>
      <c r="J315" s="13"/>
      <c r="L315" s="8">
        <f>Table1345678101112131415161718192021222324[[#This Row],[الدولار]]+(Table1345678101112131415161718192021222324[[#This Row],[اللبناني]]/90)</f>
        <v>0</v>
      </c>
      <c r="M315" s="6"/>
    </row>
    <row r="316" spans="9:13" s="8" customFormat="1" x14ac:dyDescent="0.3">
      <c r="I316" s="21"/>
      <c r="J316" s="13"/>
      <c r="L316" s="8">
        <f>Table1345678101112131415161718192021222324[[#This Row],[الدولار]]+(Table1345678101112131415161718192021222324[[#This Row],[اللبناني]]/90)</f>
        <v>0</v>
      </c>
      <c r="M316" s="6"/>
    </row>
    <row r="317" spans="9:13" s="8" customFormat="1" x14ac:dyDescent="0.3">
      <c r="I317" s="21"/>
      <c r="J317" s="13"/>
      <c r="L317" s="8">
        <f>Table1345678101112131415161718192021222324[[#This Row],[الدولار]]+(Table1345678101112131415161718192021222324[[#This Row],[اللبناني]]/90)</f>
        <v>0</v>
      </c>
      <c r="M317" s="6"/>
    </row>
    <row r="318" spans="9:13" s="8" customFormat="1" x14ac:dyDescent="0.3">
      <c r="I318" s="21"/>
      <c r="J318" s="13"/>
      <c r="L318" s="8">
        <f>Table1345678101112131415161718192021222324[[#This Row],[الدولار]]+(Table1345678101112131415161718192021222324[[#This Row],[اللبناني]]/90)</f>
        <v>0</v>
      </c>
      <c r="M318" s="6"/>
    </row>
    <row r="319" spans="9:13" s="8" customFormat="1" x14ac:dyDescent="0.3">
      <c r="I319" s="21"/>
      <c r="J319" s="13"/>
      <c r="L319" s="8">
        <f>Table1345678101112131415161718192021222324[[#This Row],[الدولار]]+(Table1345678101112131415161718192021222324[[#This Row],[اللبناني]]/90)</f>
        <v>0</v>
      </c>
      <c r="M319" s="6"/>
    </row>
    <row r="320" spans="9:13" s="8" customFormat="1" x14ac:dyDescent="0.3">
      <c r="I320" s="21"/>
      <c r="J320" s="13"/>
      <c r="L320" s="8">
        <f>Table1345678101112131415161718192021222324[[#This Row],[الدولار]]+(Table1345678101112131415161718192021222324[[#This Row],[اللبناني]]/90)</f>
        <v>0</v>
      </c>
      <c r="M320" s="6"/>
    </row>
    <row r="321" spans="9:13" s="8" customFormat="1" x14ac:dyDescent="0.3">
      <c r="I321" s="21"/>
      <c r="J321" s="13"/>
      <c r="L321" s="8">
        <f>Table1345678101112131415161718192021222324[[#This Row],[الدولار]]+(Table1345678101112131415161718192021222324[[#This Row],[اللبناني]]/90)</f>
        <v>0</v>
      </c>
      <c r="M321" s="6"/>
    </row>
    <row r="322" spans="9:13" s="8" customFormat="1" x14ac:dyDescent="0.3">
      <c r="I322" s="21"/>
      <c r="J322" s="13"/>
      <c r="L322" s="8">
        <f>Table1345678101112131415161718192021222324[[#This Row],[الدولار]]+(Table1345678101112131415161718192021222324[[#This Row],[اللبناني]]/90)</f>
        <v>0</v>
      </c>
      <c r="M322" s="6"/>
    </row>
    <row r="323" spans="9:13" s="8" customFormat="1" x14ac:dyDescent="0.3">
      <c r="I323" s="21"/>
      <c r="J323" s="13"/>
      <c r="L323" s="8">
        <f>Table1345678101112131415161718192021222324[[#This Row],[الدولار]]+(Table1345678101112131415161718192021222324[[#This Row],[اللبناني]]/90)</f>
        <v>0</v>
      </c>
      <c r="M323" s="6"/>
    </row>
    <row r="324" spans="9:13" s="8" customFormat="1" x14ac:dyDescent="0.3">
      <c r="I324" s="21"/>
      <c r="J324" s="13"/>
      <c r="L324" s="8">
        <f>Table1345678101112131415161718192021222324[[#This Row],[الدولار]]+(Table1345678101112131415161718192021222324[[#This Row],[اللبناني]]/90)</f>
        <v>0</v>
      </c>
      <c r="M324" s="6"/>
    </row>
    <row r="325" spans="9:13" s="8" customFormat="1" x14ac:dyDescent="0.3">
      <c r="I325" s="21"/>
      <c r="J325" s="13"/>
      <c r="L325" s="8">
        <f>Table1345678101112131415161718192021222324[[#This Row],[الدولار]]+(Table1345678101112131415161718192021222324[[#This Row],[اللبناني]]/90)</f>
        <v>0</v>
      </c>
      <c r="M325" s="6"/>
    </row>
    <row r="326" spans="9:13" s="8" customFormat="1" x14ac:dyDescent="0.3">
      <c r="I326" s="21"/>
      <c r="J326" s="13"/>
      <c r="L326" s="8">
        <f>Table1345678101112131415161718192021222324[[#This Row],[الدولار]]+(Table1345678101112131415161718192021222324[[#This Row],[اللبناني]]/90)</f>
        <v>0</v>
      </c>
      <c r="M326" s="6"/>
    </row>
    <row r="327" spans="9:13" s="8" customFormat="1" x14ac:dyDescent="0.3">
      <c r="I327" s="21"/>
      <c r="J327" s="13"/>
      <c r="L327" s="8">
        <f>Table1345678101112131415161718192021222324[[#This Row],[الدولار]]+(Table1345678101112131415161718192021222324[[#This Row],[اللبناني]]/90)</f>
        <v>0</v>
      </c>
      <c r="M327" s="6"/>
    </row>
    <row r="328" spans="9:13" s="8" customFormat="1" x14ac:dyDescent="0.3">
      <c r="I328" s="21"/>
      <c r="J328" s="13"/>
      <c r="L328" s="8">
        <f>Table1345678101112131415161718192021222324[[#This Row],[الدولار]]+(Table1345678101112131415161718192021222324[[#This Row],[اللبناني]]/90)</f>
        <v>0</v>
      </c>
      <c r="M328" s="6"/>
    </row>
    <row r="329" spans="9:13" s="8" customFormat="1" x14ac:dyDescent="0.3">
      <c r="I329" s="21"/>
      <c r="J329" s="13"/>
      <c r="L329" s="8">
        <f>Table1345678101112131415161718192021222324[[#This Row],[الدولار]]+(Table1345678101112131415161718192021222324[[#This Row],[اللبناني]]/90)</f>
        <v>0</v>
      </c>
      <c r="M329" s="6"/>
    </row>
    <row r="330" spans="9:13" s="8" customFormat="1" x14ac:dyDescent="0.3">
      <c r="I330" s="21"/>
      <c r="J330" s="13"/>
      <c r="L330" s="8">
        <f>Table1345678101112131415161718192021222324[[#This Row],[الدولار]]+(Table1345678101112131415161718192021222324[[#This Row],[اللبناني]]/90)</f>
        <v>0</v>
      </c>
      <c r="M330" s="6"/>
    </row>
    <row r="331" spans="9:13" s="8" customFormat="1" x14ac:dyDescent="0.3">
      <c r="I331" s="21"/>
      <c r="J331" s="13"/>
      <c r="L331" s="8">
        <f>Table1345678101112131415161718192021222324[[#This Row],[الدولار]]+(Table1345678101112131415161718192021222324[[#This Row],[اللبناني]]/90)</f>
        <v>0</v>
      </c>
      <c r="M331" s="6"/>
    </row>
    <row r="332" spans="9:13" s="8" customFormat="1" x14ac:dyDescent="0.3">
      <c r="I332" s="21"/>
      <c r="J332" s="13"/>
      <c r="L332" s="8">
        <f>Table1345678101112131415161718192021222324[[#This Row],[الدولار]]+(Table1345678101112131415161718192021222324[[#This Row],[اللبناني]]/90)</f>
        <v>0</v>
      </c>
      <c r="M332" s="6"/>
    </row>
    <row r="333" spans="9:13" s="8" customFormat="1" x14ac:dyDescent="0.3">
      <c r="I333" s="21"/>
      <c r="J333" s="13"/>
      <c r="L333" s="8">
        <f>Table1345678101112131415161718192021222324[[#This Row],[الدولار]]+(Table1345678101112131415161718192021222324[[#This Row],[اللبناني]]/90)</f>
        <v>0</v>
      </c>
      <c r="M333" s="6"/>
    </row>
    <row r="334" spans="9:13" s="8" customFormat="1" x14ac:dyDescent="0.3">
      <c r="I334" s="21"/>
      <c r="J334" s="13"/>
      <c r="L334" s="8">
        <f>Table1345678101112131415161718192021222324[[#This Row],[الدولار]]+(Table1345678101112131415161718192021222324[[#This Row],[اللبناني]]/90)</f>
        <v>0</v>
      </c>
      <c r="M334" s="6"/>
    </row>
    <row r="335" spans="9:13" s="8" customFormat="1" x14ac:dyDescent="0.3">
      <c r="I335" s="21"/>
      <c r="J335" s="13"/>
      <c r="L335" s="8">
        <f>Table1345678101112131415161718192021222324[[#This Row],[الدولار]]+(Table1345678101112131415161718192021222324[[#This Row],[اللبناني]]/90)</f>
        <v>0</v>
      </c>
      <c r="M335" s="6"/>
    </row>
    <row r="336" spans="9:13" s="8" customFormat="1" x14ac:dyDescent="0.3">
      <c r="I336" s="21"/>
      <c r="J336" s="13"/>
      <c r="L336" s="8">
        <f>Table1345678101112131415161718192021222324[[#This Row],[الدولار]]+(Table1345678101112131415161718192021222324[[#This Row],[اللبناني]]/90)</f>
        <v>0</v>
      </c>
      <c r="M336" s="6"/>
    </row>
    <row r="337" spans="9:13" s="8" customFormat="1" x14ac:dyDescent="0.3">
      <c r="I337" s="21"/>
      <c r="J337" s="13"/>
      <c r="L337" s="8">
        <f>Table1345678101112131415161718192021222324[[#This Row],[الدولار]]+(Table1345678101112131415161718192021222324[[#This Row],[اللبناني]]/90)</f>
        <v>0</v>
      </c>
      <c r="M337" s="6"/>
    </row>
    <row r="338" spans="9:13" s="8" customFormat="1" x14ac:dyDescent="0.3">
      <c r="I338" s="21"/>
      <c r="J338" s="13"/>
      <c r="L338" s="8">
        <f>Table1345678101112131415161718192021222324[[#This Row],[الدولار]]+(Table1345678101112131415161718192021222324[[#This Row],[اللبناني]]/90)</f>
        <v>0</v>
      </c>
      <c r="M338" s="6"/>
    </row>
    <row r="339" spans="9:13" s="8" customFormat="1" x14ac:dyDescent="0.3">
      <c r="I339" s="21"/>
      <c r="J339" s="13"/>
      <c r="L339" s="8">
        <f>Table1345678101112131415161718192021222324[[#This Row],[الدولار]]+(Table1345678101112131415161718192021222324[[#This Row],[اللبناني]]/90)</f>
        <v>0</v>
      </c>
      <c r="M339" s="6"/>
    </row>
    <row r="340" spans="9:13" s="8" customFormat="1" x14ac:dyDescent="0.3">
      <c r="I340" s="21"/>
      <c r="J340" s="13"/>
      <c r="L340" s="8">
        <f>Table1345678101112131415161718192021222324[[#This Row],[الدولار]]+(Table1345678101112131415161718192021222324[[#This Row],[اللبناني]]/90)</f>
        <v>0</v>
      </c>
      <c r="M340" s="6"/>
    </row>
    <row r="341" spans="9:13" s="8" customFormat="1" x14ac:dyDescent="0.3">
      <c r="I341" s="21"/>
      <c r="J341" s="13"/>
      <c r="L341" s="8">
        <f>Table1345678101112131415161718192021222324[[#This Row],[الدولار]]+(Table1345678101112131415161718192021222324[[#This Row],[اللبناني]]/90)</f>
        <v>0</v>
      </c>
      <c r="M341" s="6"/>
    </row>
    <row r="342" spans="9:13" s="8" customFormat="1" x14ac:dyDescent="0.3">
      <c r="I342" s="21"/>
      <c r="J342" s="13"/>
      <c r="L342" s="8">
        <f>Table1345678101112131415161718192021222324[[#This Row],[الدولار]]+(Table1345678101112131415161718192021222324[[#This Row],[اللبناني]]/90)</f>
        <v>0</v>
      </c>
      <c r="M342" s="6"/>
    </row>
    <row r="343" spans="9:13" s="8" customFormat="1" x14ac:dyDescent="0.3">
      <c r="I343" s="21"/>
      <c r="J343" s="13"/>
      <c r="L343" s="8">
        <f>Table1345678101112131415161718192021222324[[#This Row],[الدولار]]+(Table1345678101112131415161718192021222324[[#This Row],[اللبناني]]/90)</f>
        <v>0</v>
      </c>
      <c r="M343" s="6"/>
    </row>
    <row r="344" spans="9:13" s="8" customFormat="1" x14ac:dyDescent="0.3">
      <c r="I344" s="21"/>
      <c r="J344" s="13"/>
      <c r="L344" s="8">
        <f>Table1345678101112131415161718192021222324[[#This Row],[الدولار]]+(Table1345678101112131415161718192021222324[[#This Row],[اللبناني]]/90)</f>
        <v>0</v>
      </c>
      <c r="M344" s="6"/>
    </row>
    <row r="345" spans="9:13" s="8" customFormat="1" x14ac:dyDescent="0.3">
      <c r="I345" s="21"/>
      <c r="J345" s="13"/>
      <c r="L345" s="8">
        <f>Table1345678101112131415161718192021222324[[#This Row],[الدولار]]+(Table1345678101112131415161718192021222324[[#This Row],[اللبناني]]/90)</f>
        <v>0</v>
      </c>
      <c r="M345" s="6"/>
    </row>
    <row r="346" spans="9:13" s="8" customFormat="1" x14ac:dyDescent="0.3">
      <c r="I346" s="21"/>
      <c r="J346" s="13"/>
      <c r="L346" s="8">
        <f>Table1345678101112131415161718192021222324[[#This Row],[الدولار]]+(Table1345678101112131415161718192021222324[[#This Row],[اللبناني]]/90)</f>
        <v>0</v>
      </c>
      <c r="M346" s="6"/>
    </row>
    <row r="347" spans="9:13" s="8" customFormat="1" x14ac:dyDescent="0.3">
      <c r="I347" s="21"/>
      <c r="J347" s="13"/>
      <c r="L347" s="8">
        <f>Table1345678101112131415161718192021222324[[#This Row],[الدولار]]+(Table1345678101112131415161718192021222324[[#This Row],[اللبناني]]/90)</f>
        <v>0</v>
      </c>
      <c r="M347" s="6"/>
    </row>
    <row r="348" spans="9:13" s="8" customFormat="1" x14ac:dyDescent="0.3">
      <c r="I348" s="21"/>
      <c r="J348" s="13"/>
      <c r="L348" s="8">
        <f>Table1345678101112131415161718192021222324[[#This Row],[الدولار]]+(Table1345678101112131415161718192021222324[[#This Row],[اللبناني]]/90)</f>
        <v>0</v>
      </c>
      <c r="M348" s="6"/>
    </row>
    <row r="349" spans="9:13" s="8" customFormat="1" x14ac:dyDescent="0.3">
      <c r="I349" s="21"/>
      <c r="J349" s="13"/>
      <c r="L349" s="8">
        <f>Table1345678101112131415161718192021222324[[#This Row],[الدولار]]+(Table1345678101112131415161718192021222324[[#This Row],[اللبناني]]/90)</f>
        <v>0</v>
      </c>
      <c r="M349" s="6"/>
    </row>
    <row r="350" spans="9:13" s="8" customFormat="1" x14ac:dyDescent="0.3">
      <c r="I350" s="21"/>
      <c r="J350" s="13"/>
      <c r="L350" s="8">
        <f>Table1345678101112131415161718192021222324[[#This Row],[الدولار]]+(Table1345678101112131415161718192021222324[[#This Row],[اللبناني]]/90)</f>
        <v>0</v>
      </c>
      <c r="M350" s="6"/>
    </row>
    <row r="351" spans="9:13" s="8" customFormat="1" x14ac:dyDescent="0.3">
      <c r="I351" s="21"/>
      <c r="J351" s="13"/>
      <c r="L351" s="8">
        <f>Table1345678101112131415161718192021222324[[#This Row],[الدولار]]+(Table1345678101112131415161718192021222324[[#This Row],[اللبناني]]/90)</f>
        <v>0</v>
      </c>
      <c r="M351" s="6"/>
    </row>
    <row r="352" spans="9:13" s="8" customFormat="1" x14ac:dyDescent="0.3">
      <c r="I352" s="21"/>
      <c r="J352" s="13"/>
      <c r="L352" s="8">
        <f>Table1345678101112131415161718192021222324[[#This Row],[الدولار]]+(Table1345678101112131415161718192021222324[[#This Row],[اللبناني]]/90)</f>
        <v>0</v>
      </c>
      <c r="M352" s="6"/>
    </row>
  </sheetData>
  <mergeCells count="4">
    <mergeCell ref="A11:F11"/>
    <mergeCell ref="N11:S11"/>
    <mergeCell ref="Q20:R20"/>
    <mergeCell ref="N21:O21"/>
  </mergeCells>
  <pageMargins left="0.25" right="0.25" top="0.75" bottom="0.75" header="0.3" footer="0.3"/>
  <pageSetup paperSize="9" scale="71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F027D-A42D-4590-AFC8-9255F1CECD4A}">
  <sheetPr>
    <pageSetUpPr fitToPage="1"/>
  </sheetPr>
  <dimension ref="A1:S354"/>
  <sheetViews>
    <sheetView rightToLeft="1" topLeftCell="A111" zoomScale="115" zoomScaleNormal="115" workbookViewId="0">
      <selection activeCell="J126" sqref="J126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7.88671875" style="2" bestFit="1" customWidth="1"/>
    <col min="4" max="4" width="9.109375" style="2" bestFit="1" customWidth="1"/>
    <col min="5" max="5" width="5.109375" style="2" bestFit="1" customWidth="1"/>
    <col min="6" max="6" width="10.44140625" style="2" bestFit="1" customWidth="1"/>
    <col min="7" max="7" width="2.44140625" style="2" customWidth="1"/>
    <col min="8" max="8" width="8.88671875" style="2" bestFit="1" customWidth="1"/>
    <col min="9" max="9" width="14.109375" style="21" bestFit="1" customWidth="1"/>
    <col min="10" max="10" width="12.109375" style="7" bestFit="1" customWidth="1"/>
    <col min="11" max="11" width="8.5546875" style="8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1.109375" style="2" bestFit="1" customWidth="1"/>
    <col min="20" max="16384" width="8.88671875" style="2"/>
  </cols>
  <sheetData>
    <row r="1" spans="1:19" x14ac:dyDescent="0.3">
      <c r="I1" s="21" t="s">
        <v>22</v>
      </c>
      <c r="J1" s="7">
        <f>SUM(J3:J11)</f>
        <v>600</v>
      </c>
      <c r="K1" s="7">
        <f>SUM(K3:K11)</f>
        <v>90</v>
      </c>
      <c r="L1" s="7">
        <f>SUM(L3:L11)</f>
        <v>96.666666666666657</v>
      </c>
    </row>
    <row r="2" spans="1:19" x14ac:dyDescent="0.3">
      <c r="H2" s="2" t="s">
        <v>136</v>
      </c>
      <c r="I2" s="22" t="s">
        <v>6</v>
      </c>
      <c r="J2" s="3" t="s">
        <v>5</v>
      </c>
      <c r="K2" s="9" t="s">
        <v>4</v>
      </c>
      <c r="L2" s="9" t="s">
        <v>125</v>
      </c>
    </row>
    <row r="3" spans="1:19" x14ac:dyDescent="0.3">
      <c r="H3" s="5" t="s">
        <v>144</v>
      </c>
      <c r="I3" s="23" t="s">
        <v>28</v>
      </c>
      <c r="J3" s="15"/>
      <c r="K3" s="8">
        <v>80</v>
      </c>
      <c r="L3" s="26">
        <f t="shared" ref="L3:L11" si="0">K3+(J3/90)</f>
        <v>80</v>
      </c>
    </row>
    <row r="4" spans="1:19" x14ac:dyDescent="0.3">
      <c r="H4" s="5" t="s">
        <v>144</v>
      </c>
      <c r="I4" s="23"/>
      <c r="J4" s="15">
        <v>150</v>
      </c>
      <c r="L4" s="26">
        <f t="shared" si="0"/>
        <v>1.6666666666666667</v>
      </c>
    </row>
    <row r="5" spans="1:19" x14ac:dyDescent="0.3">
      <c r="H5" s="5" t="s">
        <v>144</v>
      </c>
      <c r="I5" s="23"/>
      <c r="J5" s="15">
        <v>-150</v>
      </c>
      <c r="K5" s="8">
        <v>10</v>
      </c>
      <c r="L5" s="26">
        <f t="shared" si="0"/>
        <v>8.3333333333333339</v>
      </c>
    </row>
    <row r="6" spans="1:19" x14ac:dyDescent="0.3">
      <c r="H6" s="5" t="s">
        <v>144</v>
      </c>
      <c r="I6" s="23"/>
      <c r="J6" s="15">
        <v>300</v>
      </c>
      <c r="L6" s="26">
        <f t="shared" si="0"/>
        <v>3.3333333333333335</v>
      </c>
    </row>
    <row r="7" spans="1:19" x14ac:dyDescent="0.3">
      <c r="H7" s="5" t="s">
        <v>144</v>
      </c>
      <c r="I7" s="24" t="s">
        <v>75</v>
      </c>
      <c r="J7" s="15">
        <v>300</v>
      </c>
      <c r="L7" s="26">
        <f t="shared" si="0"/>
        <v>3.3333333333333335</v>
      </c>
    </row>
    <row r="8" spans="1:19" x14ac:dyDescent="0.3">
      <c r="H8" s="5"/>
      <c r="I8" s="23"/>
      <c r="J8" s="15"/>
      <c r="L8" s="26">
        <f t="shared" si="0"/>
        <v>0</v>
      </c>
    </row>
    <row r="9" spans="1:19" x14ac:dyDescent="0.3">
      <c r="I9" s="23"/>
      <c r="J9" s="15"/>
      <c r="L9" s="26">
        <f t="shared" si="0"/>
        <v>0</v>
      </c>
    </row>
    <row r="10" spans="1:19" x14ac:dyDescent="0.3">
      <c r="I10" s="23"/>
      <c r="J10" s="15"/>
      <c r="L10" s="26">
        <f t="shared" si="0"/>
        <v>0</v>
      </c>
    </row>
    <row r="11" spans="1:19" x14ac:dyDescent="0.3">
      <c r="I11" s="23"/>
      <c r="J11" s="15"/>
      <c r="L11" s="26">
        <f t="shared" si="0"/>
        <v>0</v>
      </c>
    </row>
    <row r="13" spans="1:19" x14ac:dyDescent="0.3">
      <c r="A13" s="48" t="s">
        <v>19</v>
      </c>
      <c r="B13" s="48"/>
      <c r="C13" s="48"/>
      <c r="D13" s="48"/>
      <c r="E13" s="48"/>
      <c r="F13" s="48"/>
      <c r="I13" s="21" t="s">
        <v>22</v>
      </c>
      <c r="J13" s="7">
        <f>SUM(Table134567810111213141516171819202122232425[اللبناني])</f>
        <v>-1345</v>
      </c>
      <c r="K13" s="7">
        <f>SUM(Table134567810111213141516171819202122232425[الدولار])</f>
        <v>264</v>
      </c>
      <c r="L13" s="7">
        <f>SUM(Table134567810111213141516171819202122232425[مبيع $])</f>
        <v>249.05555555555537</v>
      </c>
      <c r="N13" s="48" t="s">
        <v>21</v>
      </c>
      <c r="O13" s="48"/>
      <c r="P13" s="48"/>
      <c r="Q13" s="48"/>
      <c r="R13" s="48"/>
      <c r="S13" s="48"/>
    </row>
    <row r="14" spans="1:19" x14ac:dyDescent="0.3">
      <c r="A14" s="1" t="s">
        <v>2</v>
      </c>
      <c r="B14" s="1" t="s">
        <v>0</v>
      </c>
      <c r="C14" s="1" t="s">
        <v>1</v>
      </c>
      <c r="D14" s="1" t="s">
        <v>3</v>
      </c>
      <c r="E14" s="1" t="s">
        <v>0</v>
      </c>
      <c r="F14" s="1" t="s">
        <v>1</v>
      </c>
      <c r="H14" s="2" t="s">
        <v>136</v>
      </c>
      <c r="I14" s="22" t="s">
        <v>6</v>
      </c>
      <c r="J14" s="3" t="s">
        <v>5</v>
      </c>
      <c r="K14" s="9" t="s">
        <v>4</v>
      </c>
      <c r="L14" s="9" t="s">
        <v>125</v>
      </c>
      <c r="M14" s="2"/>
      <c r="N14" s="1" t="s">
        <v>2</v>
      </c>
      <c r="O14" s="1" t="s">
        <v>0</v>
      </c>
      <c r="P14" s="1" t="s">
        <v>1</v>
      </c>
      <c r="Q14" s="1" t="s">
        <v>3</v>
      </c>
      <c r="R14" s="1" t="s">
        <v>0</v>
      </c>
      <c r="S14" s="1" t="s">
        <v>1</v>
      </c>
    </row>
    <row r="15" spans="1:19" x14ac:dyDescent="0.3">
      <c r="A15" s="11">
        <v>1</v>
      </c>
      <c r="B15" s="2">
        <v>1</v>
      </c>
      <c r="C15" s="16">
        <f>A15*B15</f>
        <v>1</v>
      </c>
      <c r="D15" s="12">
        <v>5</v>
      </c>
      <c r="E15" s="2">
        <v>46</v>
      </c>
      <c r="F15" s="18">
        <f>D15*E15</f>
        <v>230</v>
      </c>
      <c r="G15" s="5"/>
      <c r="H15" s="5" t="s">
        <v>144</v>
      </c>
      <c r="I15" s="23" t="s">
        <v>121</v>
      </c>
      <c r="J15" s="15">
        <v>70</v>
      </c>
      <c r="L15" s="26">
        <f>Table134567810111213141516171819202122232425[[#This Row],[الدولار]]+(Table134567810111213141516171819202122232425[[#This Row],[اللبناني]]/90)</f>
        <v>0.77777777777777779</v>
      </c>
      <c r="N15" s="11">
        <v>1</v>
      </c>
      <c r="P15" s="16">
        <f>N15*O15</f>
        <v>0</v>
      </c>
      <c r="Q15" s="12">
        <v>5</v>
      </c>
      <c r="R15" s="2">
        <v>43</v>
      </c>
      <c r="S15" s="18">
        <f>Q15*R15</f>
        <v>215</v>
      </c>
    </row>
    <row r="16" spans="1:19" x14ac:dyDescent="0.3">
      <c r="A16" s="11">
        <v>5</v>
      </c>
      <c r="C16" s="16">
        <f t="shared" ref="C16:C20" si="1">A16*B16</f>
        <v>0</v>
      </c>
      <c r="D16" s="12">
        <v>10</v>
      </c>
      <c r="E16" s="2">
        <v>27</v>
      </c>
      <c r="F16" s="18">
        <f t="shared" ref="F16:F19" si="2">D16*E16</f>
        <v>270</v>
      </c>
      <c r="G16" s="5"/>
      <c r="H16" s="5" t="s">
        <v>144</v>
      </c>
      <c r="I16" s="23" t="s">
        <v>51</v>
      </c>
      <c r="J16" s="15">
        <v>100</v>
      </c>
      <c r="K16" s="8">
        <v>76</v>
      </c>
      <c r="L16" s="26">
        <f>Table134567810111213141516171819202122232425[[#This Row],[الدولار]]+(Table134567810111213141516171819202122232425[[#This Row],[اللبناني]]/90)</f>
        <v>77.111111111111114</v>
      </c>
      <c r="N16" s="11">
        <v>5</v>
      </c>
      <c r="O16" s="2">
        <v>5</v>
      </c>
      <c r="P16" s="16">
        <f t="shared" ref="P16:P20" si="3">N16*O16</f>
        <v>25</v>
      </c>
      <c r="Q16" s="12">
        <v>10</v>
      </c>
      <c r="R16" s="2">
        <v>24</v>
      </c>
      <c r="S16" s="18">
        <f t="shared" ref="S16:S19" si="4">Q16*R16</f>
        <v>240</v>
      </c>
    </row>
    <row r="17" spans="1:19" x14ac:dyDescent="0.3">
      <c r="A17" s="11">
        <v>10</v>
      </c>
      <c r="B17" s="2">
        <v>60</v>
      </c>
      <c r="C17" s="16">
        <f t="shared" si="1"/>
        <v>600</v>
      </c>
      <c r="D17" s="12">
        <v>20</v>
      </c>
      <c r="E17" s="2">
        <v>5</v>
      </c>
      <c r="F17" s="18">
        <f t="shared" si="2"/>
        <v>100</v>
      </c>
      <c r="G17" s="5"/>
      <c r="H17" s="5" t="s">
        <v>145</v>
      </c>
      <c r="I17" s="23" t="s">
        <v>31</v>
      </c>
      <c r="J17" s="15">
        <v>-300</v>
      </c>
      <c r="L17" s="26">
        <f>Table134567810111213141516171819202122232425[[#This Row],[الدولار]]+(Table134567810111213141516171819202122232425[[#This Row],[اللبناني]]/90)</f>
        <v>-3.3333333333333335</v>
      </c>
      <c r="N17" s="11">
        <v>10</v>
      </c>
      <c r="O17" s="2">
        <v>60</v>
      </c>
      <c r="P17" s="16">
        <f t="shared" si="3"/>
        <v>600</v>
      </c>
      <c r="Q17" s="12">
        <v>20</v>
      </c>
      <c r="R17" s="2">
        <v>5</v>
      </c>
      <c r="S17" s="18">
        <f t="shared" si="4"/>
        <v>100</v>
      </c>
    </row>
    <row r="18" spans="1:19" x14ac:dyDescent="0.3">
      <c r="A18" s="11">
        <v>20</v>
      </c>
      <c r="B18" s="2">
        <v>2</v>
      </c>
      <c r="C18" s="16">
        <f t="shared" si="1"/>
        <v>40</v>
      </c>
      <c r="D18" s="12">
        <v>50</v>
      </c>
      <c r="F18" s="18">
        <f t="shared" si="2"/>
        <v>0</v>
      </c>
      <c r="G18" s="5"/>
      <c r="H18" s="5" t="s">
        <v>144</v>
      </c>
      <c r="I18" s="23" t="s">
        <v>122</v>
      </c>
      <c r="J18" s="15"/>
      <c r="K18" s="8">
        <v>115</v>
      </c>
      <c r="L18" s="26">
        <f>Table134567810111213141516171819202122232425[[#This Row],[الدولار]]+(Table134567810111213141516171819202122232425[[#This Row],[اللبناني]]/90)</f>
        <v>115</v>
      </c>
      <c r="N18" s="11">
        <v>20</v>
      </c>
      <c r="O18" s="2">
        <v>19</v>
      </c>
      <c r="P18" s="16">
        <f t="shared" si="3"/>
        <v>380</v>
      </c>
      <c r="Q18" s="12">
        <v>50</v>
      </c>
      <c r="R18" s="2">
        <v>4</v>
      </c>
      <c r="S18" s="18">
        <f t="shared" si="4"/>
        <v>200</v>
      </c>
    </row>
    <row r="19" spans="1:19" x14ac:dyDescent="0.3">
      <c r="A19" s="11">
        <v>50</v>
      </c>
      <c r="C19" s="16">
        <f t="shared" si="1"/>
        <v>0</v>
      </c>
      <c r="D19" s="12">
        <v>100</v>
      </c>
      <c r="E19" s="2">
        <v>27</v>
      </c>
      <c r="F19" s="18">
        <f t="shared" si="2"/>
        <v>2700</v>
      </c>
      <c r="G19" s="5"/>
      <c r="H19" s="5" t="s">
        <v>144</v>
      </c>
      <c r="I19" s="24" t="s">
        <v>123</v>
      </c>
      <c r="J19" s="15"/>
      <c r="K19" s="8">
        <v>15</v>
      </c>
      <c r="L19" s="26">
        <f>Table134567810111213141516171819202122232425[[#This Row],[الدولار]]+(Table134567810111213141516171819202122232425[[#This Row],[اللبناني]]/90)</f>
        <v>15</v>
      </c>
      <c r="N19" s="11">
        <v>50</v>
      </c>
      <c r="O19" s="2">
        <v>2</v>
      </c>
      <c r="P19" s="16">
        <f t="shared" si="3"/>
        <v>100</v>
      </c>
      <c r="Q19" s="12">
        <v>100</v>
      </c>
      <c r="R19" s="2">
        <v>62</v>
      </c>
      <c r="S19" s="18">
        <f t="shared" si="4"/>
        <v>6200</v>
      </c>
    </row>
    <row r="20" spans="1:19" x14ac:dyDescent="0.3">
      <c r="A20" s="11">
        <v>100</v>
      </c>
      <c r="B20" s="2">
        <v>1</v>
      </c>
      <c r="C20" s="16">
        <f t="shared" si="1"/>
        <v>100</v>
      </c>
      <c r="D20" s="1" t="s">
        <v>1</v>
      </c>
      <c r="E20" s="1"/>
      <c r="F20" s="14">
        <f>SUM(F15:F19)</f>
        <v>3300</v>
      </c>
      <c r="G20" s="5"/>
      <c r="H20" s="5" t="s">
        <v>144</v>
      </c>
      <c r="I20" s="23" t="s">
        <v>124</v>
      </c>
      <c r="J20" s="15">
        <v>75</v>
      </c>
      <c r="K20" s="8">
        <v>2</v>
      </c>
      <c r="L20" s="26">
        <f>Table134567810111213141516171819202122232425[[#This Row],[الدولار]]+(Table134567810111213141516171819202122232425[[#This Row],[اللبناني]]/90)</f>
        <v>2.8333333333333335</v>
      </c>
      <c r="N20" s="11">
        <v>100</v>
      </c>
      <c r="O20" s="2">
        <v>50</v>
      </c>
      <c r="P20" s="16">
        <f t="shared" si="3"/>
        <v>5000</v>
      </c>
      <c r="Q20" s="1" t="s">
        <v>1</v>
      </c>
      <c r="R20" s="1"/>
      <c r="S20" s="14">
        <f>SUM(S15:S19)</f>
        <v>6955</v>
      </c>
    </row>
    <row r="21" spans="1:19" x14ac:dyDescent="0.3">
      <c r="A21" s="1" t="s">
        <v>1</v>
      </c>
      <c r="B21" s="1"/>
      <c r="C21" s="17">
        <f>SUM(C15:C20)</f>
        <v>741</v>
      </c>
      <c r="H21" s="2" t="s">
        <v>144</v>
      </c>
      <c r="I21" s="23" t="s">
        <v>126</v>
      </c>
      <c r="J21" s="15"/>
      <c r="K21" s="8">
        <v>-10</v>
      </c>
      <c r="L21" s="26">
        <f>Table134567810111213141516171819202122232425[[#This Row],[الدولار]]+(Table134567810111213141516171819202122232425[[#This Row],[اللبناني]]/90)</f>
        <v>-10</v>
      </c>
      <c r="N21" s="1" t="s">
        <v>1</v>
      </c>
      <c r="O21" s="1"/>
      <c r="P21" s="17">
        <f>SUM(P15:P20)</f>
        <v>6105</v>
      </c>
      <c r="S21" s="15"/>
    </row>
    <row r="22" spans="1:19" x14ac:dyDescent="0.3">
      <c r="H22" s="2" t="s">
        <v>144</v>
      </c>
      <c r="I22" s="23" t="s">
        <v>127</v>
      </c>
      <c r="J22" s="15">
        <v>40</v>
      </c>
      <c r="L22" s="26">
        <f>Table134567810111213141516171819202122232425[[#This Row],[الدولار]]+(Table134567810111213141516171819202122232425[[#This Row],[اللبناني]]/90)</f>
        <v>0.44444444444444442</v>
      </c>
      <c r="P22" s="20"/>
      <c r="Q22" s="47" t="s">
        <v>24</v>
      </c>
      <c r="R22" s="47"/>
      <c r="S22" s="19">
        <f>SUM(Table134567810111213141516171819202122232425[اللبناني])</f>
        <v>-1345</v>
      </c>
    </row>
    <row r="23" spans="1:19" x14ac:dyDescent="0.3">
      <c r="H23" s="2" t="s">
        <v>144</v>
      </c>
      <c r="I23" s="23" t="s">
        <v>128</v>
      </c>
      <c r="J23" s="15">
        <v>-50</v>
      </c>
      <c r="K23" s="8">
        <v>6</v>
      </c>
      <c r="L23" s="26">
        <f>Table134567810111213141516171819202122232425[[#This Row],[الدولار]]+(Table134567810111213141516171819202122232425[[#This Row],[اللبناني]]/90)</f>
        <v>5.4444444444444446</v>
      </c>
      <c r="N23" s="47" t="s">
        <v>23</v>
      </c>
      <c r="O23" s="47"/>
      <c r="P23" s="9">
        <f>SUM(Table134567810111213141516171819202122232425[الدولار])</f>
        <v>264</v>
      </c>
      <c r="S23" s="15"/>
    </row>
    <row r="24" spans="1:19" x14ac:dyDescent="0.3">
      <c r="H24" s="2" t="s">
        <v>144</v>
      </c>
      <c r="I24" s="23"/>
      <c r="J24" s="15">
        <v>-320</v>
      </c>
      <c r="K24" s="8">
        <v>10</v>
      </c>
      <c r="L24" s="26">
        <f>Table134567810111213141516171819202122232425[[#This Row],[الدولار]]+(Table134567810111213141516171819202122232425[[#This Row],[اللبناني]]/90)</f>
        <v>6.4444444444444446</v>
      </c>
      <c r="P24" s="20"/>
      <c r="Q24" s="1" t="s">
        <v>17</v>
      </c>
      <c r="R24" s="1"/>
      <c r="S24" s="19">
        <f>S20-S22-F20</f>
        <v>5000</v>
      </c>
    </row>
    <row r="25" spans="1:19" x14ac:dyDescent="0.3">
      <c r="C25" s="10"/>
      <c r="D25" s="10"/>
      <c r="F25" s="10"/>
      <c r="H25" s="2" t="s">
        <v>144</v>
      </c>
      <c r="I25" s="23"/>
      <c r="J25" s="15">
        <v>-300</v>
      </c>
      <c r="K25" s="8">
        <v>5</v>
      </c>
      <c r="L25" s="26">
        <f>Table134567810111213141516171819202122232425[[#This Row],[الدولار]]+(Table134567810111213141516171819202122232425[[#This Row],[اللبناني]]/90)</f>
        <v>1.6666666666666665</v>
      </c>
      <c r="N25" s="1" t="s">
        <v>17</v>
      </c>
      <c r="O25" s="1"/>
      <c r="P25" s="9">
        <f>P21-P23-C21</f>
        <v>5100</v>
      </c>
    </row>
    <row r="26" spans="1:19" x14ac:dyDescent="0.3">
      <c r="C26" s="10"/>
      <c r="D26" s="10"/>
      <c r="F26" s="10"/>
      <c r="H26" s="2" t="s">
        <v>144</v>
      </c>
      <c r="I26" s="25" t="s">
        <v>98</v>
      </c>
      <c r="J26" s="13"/>
      <c r="K26" s="8">
        <v>40</v>
      </c>
      <c r="L26" s="26">
        <f>Table134567810111213141516171819202122232425[[#This Row],[الدولار]]+(Table134567810111213141516171819202122232425[[#This Row],[اللبناني]]/90)</f>
        <v>40</v>
      </c>
    </row>
    <row r="27" spans="1:19" x14ac:dyDescent="0.3">
      <c r="C27" s="10"/>
      <c r="D27" s="10"/>
      <c r="F27" s="10"/>
      <c r="H27" s="2" t="s">
        <v>144</v>
      </c>
      <c r="I27" s="25"/>
      <c r="J27" s="13">
        <v>510</v>
      </c>
      <c r="L27" s="26">
        <f>Table134567810111213141516171819202122232425[[#This Row],[الدولار]]+(Table134567810111213141516171819202122232425[[#This Row],[اللبناني]]/90)</f>
        <v>5.666666666666667</v>
      </c>
    </row>
    <row r="28" spans="1:19" x14ac:dyDescent="0.3">
      <c r="C28" s="10"/>
      <c r="D28" s="10"/>
      <c r="F28" s="10"/>
      <c r="H28" s="2" t="s">
        <v>144</v>
      </c>
      <c r="I28" s="23" t="s">
        <v>83</v>
      </c>
      <c r="J28" s="13">
        <v>100</v>
      </c>
      <c r="L28" s="26">
        <f>Table134567810111213141516171819202122232425[[#This Row],[الدولار]]+(Table134567810111213141516171819202122232425[[#This Row],[اللبناني]]/90)</f>
        <v>1.1111111111111112</v>
      </c>
    </row>
    <row r="29" spans="1:19" s="8" customFormat="1" x14ac:dyDescent="0.3">
      <c r="C29" s="10"/>
      <c r="D29" s="10"/>
      <c r="E29" s="2"/>
      <c r="F29" s="10"/>
      <c r="G29" s="2"/>
      <c r="H29" s="2" t="s">
        <v>144</v>
      </c>
      <c r="I29" s="25"/>
      <c r="J29" s="15">
        <v>350</v>
      </c>
      <c r="L29" s="26">
        <f>Table134567810111213141516171819202122232425[[#This Row],[الدولار]]+(Table134567810111213141516171819202122232425[[#This Row],[اللبناني]]/90)</f>
        <v>3.8888888888888888</v>
      </c>
      <c r="M29" s="6"/>
    </row>
    <row r="30" spans="1:19" s="8" customFormat="1" x14ac:dyDescent="0.3">
      <c r="C30" s="10"/>
      <c r="D30" s="2"/>
      <c r="E30" s="2"/>
      <c r="F30" s="10"/>
      <c r="G30" s="2"/>
      <c r="H30" s="2" t="s">
        <v>144</v>
      </c>
      <c r="I30" s="25"/>
      <c r="J30" s="15">
        <v>120</v>
      </c>
      <c r="L30" s="26">
        <f>Table134567810111213141516171819202122232425[[#This Row],[الدولار]]+(Table134567810111213141516171819202122232425[[#This Row],[اللبناني]]/90)</f>
        <v>1.3333333333333333</v>
      </c>
      <c r="M30" s="6"/>
    </row>
    <row r="31" spans="1:19" s="8" customFormat="1" x14ac:dyDescent="0.3">
      <c r="C31" s="10"/>
      <c r="D31" s="2"/>
      <c r="E31" s="2"/>
      <c r="F31" s="2"/>
      <c r="G31" s="2"/>
      <c r="H31" s="2" t="s">
        <v>144</v>
      </c>
      <c r="I31" s="25" t="s">
        <v>53</v>
      </c>
      <c r="J31" s="15">
        <v>100</v>
      </c>
      <c r="L31" s="26">
        <f>Table134567810111213141516171819202122232425[[#This Row],[الدولار]]+(Table134567810111213141516171819202122232425[[#This Row],[اللبناني]]/90)</f>
        <v>1.1111111111111112</v>
      </c>
      <c r="M31" s="6"/>
    </row>
    <row r="32" spans="1:19" s="8" customFormat="1" x14ac:dyDescent="0.3">
      <c r="C32" s="2"/>
      <c r="D32" s="2"/>
      <c r="E32" s="2"/>
      <c r="F32" s="6"/>
      <c r="G32" s="2"/>
      <c r="H32" s="2" t="s">
        <v>144</v>
      </c>
      <c r="I32" s="23" t="s">
        <v>59</v>
      </c>
      <c r="J32" s="15">
        <v>250</v>
      </c>
      <c r="L32" s="26">
        <f>Table134567810111213141516171819202122232425[[#This Row],[الدولار]]+(Table134567810111213141516171819202122232425[[#This Row],[اللبناني]]/90)</f>
        <v>2.7777777777777777</v>
      </c>
      <c r="M32" s="6"/>
    </row>
    <row r="33" spans="3:13" s="8" customFormat="1" x14ac:dyDescent="0.3">
      <c r="C33" s="6"/>
      <c r="D33" s="2"/>
      <c r="E33" s="2"/>
      <c r="F33" s="2"/>
      <c r="G33" s="2"/>
      <c r="H33" s="2" t="s">
        <v>144</v>
      </c>
      <c r="I33" s="23" t="s">
        <v>129</v>
      </c>
      <c r="J33" s="15">
        <v>420</v>
      </c>
      <c r="L33" s="26">
        <f>Table134567810111213141516171819202122232425[[#This Row],[الدولار]]+(Table134567810111213141516171819202122232425[[#This Row],[اللبناني]]/90)</f>
        <v>4.666666666666667</v>
      </c>
      <c r="M33" s="6"/>
    </row>
    <row r="34" spans="3:13" s="8" customFormat="1" x14ac:dyDescent="0.3">
      <c r="C34" s="2"/>
      <c r="D34" s="2"/>
      <c r="E34" s="2"/>
      <c r="F34" s="6"/>
      <c r="G34" s="2"/>
      <c r="H34" s="2" t="s">
        <v>144</v>
      </c>
      <c r="I34" s="23" t="s">
        <v>130</v>
      </c>
      <c r="J34" s="15">
        <v>1150</v>
      </c>
      <c r="K34" s="8">
        <v>100</v>
      </c>
      <c r="L34" s="26">
        <f>Table134567810111213141516171819202122232425[[#This Row],[الدولار]]+(Table134567810111213141516171819202122232425[[#This Row],[اللبناني]]/90)</f>
        <v>112.77777777777777</v>
      </c>
      <c r="M34" s="6"/>
    </row>
    <row r="35" spans="3:13" s="8" customFormat="1" x14ac:dyDescent="0.3">
      <c r="C35" s="6"/>
      <c r="D35" s="2"/>
      <c r="E35" s="2"/>
      <c r="F35" s="2"/>
      <c r="G35" s="2"/>
      <c r="H35" s="2" t="s">
        <v>144</v>
      </c>
      <c r="I35" s="23" t="s">
        <v>44</v>
      </c>
      <c r="J35" s="15"/>
      <c r="K35" s="8">
        <v>2</v>
      </c>
      <c r="L35" s="26">
        <f>Table134567810111213141516171819202122232425[[#This Row],[الدولار]]+(Table134567810111213141516171819202122232425[[#This Row],[اللبناني]]/90)</f>
        <v>2</v>
      </c>
      <c r="M35" s="6"/>
    </row>
    <row r="36" spans="3:13" s="8" customFormat="1" x14ac:dyDescent="0.3">
      <c r="C36" s="2"/>
      <c r="D36" s="2"/>
      <c r="E36" s="2"/>
      <c r="F36" s="2"/>
      <c r="G36" s="2"/>
      <c r="H36" s="2" t="s">
        <v>144</v>
      </c>
      <c r="I36" s="23" t="s">
        <v>87</v>
      </c>
      <c r="J36" s="15">
        <v>150</v>
      </c>
      <c r="L36" s="26">
        <f>Table134567810111213141516171819202122232425[[#This Row],[الدولار]]+(Table134567810111213141516171819202122232425[[#This Row],[اللبناني]]/90)</f>
        <v>1.6666666666666667</v>
      </c>
      <c r="M36" s="6"/>
    </row>
    <row r="37" spans="3:13" s="8" customFormat="1" x14ac:dyDescent="0.3">
      <c r="C37" s="2"/>
      <c r="D37" s="2"/>
      <c r="E37" s="2"/>
      <c r="F37" s="2"/>
      <c r="G37" s="2"/>
      <c r="H37" s="2" t="s">
        <v>144</v>
      </c>
      <c r="I37" s="23" t="s">
        <v>40</v>
      </c>
      <c r="J37" s="15"/>
      <c r="K37" s="8">
        <v>54</v>
      </c>
      <c r="L37" s="26">
        <f>Table134567810111213141516171819202122232425[[#This Row],[الدولار]]+(Table134567810111213141516171819202122232425[[#This Row],[اللبناني]]/90)</f>
        <v>54</v>
      </c>
      <c r="M37" s="6"/>
    </row>
    <row r="38" spans="3:13" s="8" customFormat="1" x14ac:dyDescent="0.3">
      <c r="C38" s="2"/>
      <c r="D38" s="2"/>
      <c r="E38" s="2"/>
      <c r="F38" s="2"/>
      <c r="G38" s="2"/>
      <c r="H38" s="2" t="s">
        <v>144</v>
      </c>
      <c r="I38" s="23" t="s">
        <v>131</v>
      </c>
      <c r="J38" s="15"/>
      <c r="K38" s="8">
        <v>22</v>
      </c>
      <c r="L38" s="26">
        <f>Table134567810111213141516171819202122232425[[#This Row],[الدولار]]+(Table134567810111213141516171819202122232425[[#This Row],[اللبناني]]/90)</f>
        <v>22</v>
      </c>
      <c r="M38" s="6"/>
    </row>
    <row r="39" spans="3:13" s="8" customFormat="1" x14ac:dyDescent="0.3">
      <c r="C39" s="2"/>
      <c r="D39" s="2"/>
      <c r="E39" s="2"/>
      <c r="F39" s="2"/>
      <c r="G39" s="2"/>
      <c r="H39" s="2" t="s">
        <v>144</v>
      </c>
      <c r="I39" s="23" t="s">
        <v>132</v>
      </c>
      <c r="J39" s="13"/>
      <c r="K39" s="8">
        <v>105</v>
      </c>
      <c r="L39" s="26">
        <f>Table134567810111213141516171819202122232425[[#This Row],[الدولار]]+(Table134567810111213141516171819202122232425[[#This Row],[اللبناني]]/90)</f>
        <v>105</v>
      </c>
      <c r="M39" s="6"/>
    </row>
    <row r="40" spans="3:13" s="8" customFormat="1" x14ac:dyDescent="0.3">
      <c r="C40" s="2"/>
      <c r="D40" s="2"/>
      <c r="E40" s="2"/>
      <c r="F40" s="2"/>
      <c r="G40" s="2"/>
      <c r="H40" s="2" t="s">
        <v>144</v>
      </c>
      <c r="I40" s="21" t="s">
        <v>56</v>
      </c>
      <c r="J40" s="13">
        <v>510</v>
      </c>
      <c r="L40" s="26">
        <f>Table134567810111213141516171819202122232425[[#This Row],[الدولار]]+(Table134567810111213141516171819202122232425[[#This Row],[اللبناني]]/90)</f>
        <v>5.666666666666667</v>
      </c>
      <c r="M40" s="6"/>
    </row>
    <row r="41" spans="3:13" s="8" customFormat="1" x14ac:dyDescent="0.3">
      <c r="C41" s="2"/>
      <c r="D41" s="2"/>
      <c r="E41" s="2"/>
      <c r="F41" s="2"/>
      <c r="G41" s="2"/>
      <c r="H41" s="2" t="s">
        <v>144</v>
      </c>
      <c r="I41" s="21" t="s">
        <v>46</v>
      </c>
      <c r="J41" s="13"/>
      <c r="K41" s="8">
        <v>63</v>
      </c>
      <c r="L41" s="26">
        <f>Table134567810111213141516171819202122232425[[#This Row],[الدولار]]+(Table134567810111213141516171819202122232425[[#This Row],[اللبناني]]/90)</f>
        <v>63</v>
      </c>
      <c r="M41" s="6"/>
    </row>
    <row r="42" spans="3:13" s="8" customFormat="1" x14ac:dyDescent="0.3">
      <c r="C42" s="2"/>
      <c r="D42" s="2"/>
      <c r="E42" s="2"/>
      <c r="F42" s="2"/>
      <c r="G42" s="2"/>
      <c r="H42" s="2" t="s">
        <v>144</v>
      </c>
      <c r="I42" s="21" t="s">
        <v>55</v>
      </c>
      <c r="J42" s="13"/>
      <c r="K42" s="8">
        <v>9</v>
      </c>
      <c r="L42" s="26">
        <f>Table134567810111213141516171819202122232425[[#This Row],[الدولار]]+(Table134567810111213141516171819202122232425[[#This Row],[اللبناني]]/90)</f>
        <v>9</v>
      </c>
      <c r="M42" s="6"/>
    </row>
    <row r="43" spans="3:13" s="8" customFormat="1" x14ac:dyDescent="0.3">
      <c r="C43" s="2"/>
      <c r="D43" s="2"/>
      <c r="E43" s="2"/>
      <c r="F43" s="2"/>
      <c r="G43" s="2"/>
      <c r="H43" s="2" t="s">
        <v>144</v>
      </c>
      <c r="I43" s="21" t="s">
        <v>133</v>
      </c>
      <c r="J43" s="13"/>
      <c r="K43" s="8">
        <v>22</v>
      </c>
      <c r="L43" s="26">
        <f>Table134567810111213141516171819202122232425[[#This Row],[الدولار]]+(Table134567810111213141516171819202122232425[[#This Row],[اللبناني]]/90)</f>
        <v>22</v>
      </c>
      <c r="M43" s="6"/>
    </row>
    <row r="44" spans="3:13" s="8" customFormat="1" x14ac:dyDescent="0.3">
      <c r="C44" s="2"/>
      <c r="D44" s="2"/>
      <c r="E44" s="2"/>
      <c r="F44" s="2"/>
      <c r="G44" s="2"/>
      <c r="H44" s="2" t="s">
        <v>144</v>
      </c>
      <c r="I44" s="21" t="s">
        <v>11</v>
      </c>
      <c r="J44" s="13">
        <v>-900</v>
      </c>
      <c r="K44" s="8">
        <v>10</v>
      </c>
      <c r="L44" s="26">
        <f>Table134567810111213141516171819202122232425[[#This Row],[الدولار]]+(Table134567810111213141516171819202122232425[[#This Row],[اللبناني]]/90)</f>
        <v>0</v>
      </c>
      <c r="M44" s="6"/>
    </row>
    <row r="45" spans="3:13" s="8" customFormat="1" x14ac:dyDescent="0.3">
      <c r="H45" s="8" t="s">
        <v>144</v>
      </c>
      <c r="I45" s="21" t="s">
        <v>134</v>
      </c>
      <c r="J45" s="13">
        <v>-540</v>
      </c>
      <c r="K45" s="8">
        <v>160</v>
      </c>
      <c r="L45" s="26">
        <f>Table134567810111213141516171819202122232425[[#This Row],[الدولار]]+(Table134567810111213141516171819202122232425[[#This Row],[اللبناني]]/90)</f>
        <v>154</v>
      </c>
      <c r="M45" s="6"/>
    </row>
    <row r="46" spans="3:13" s="8" customFormat="1" x14ac:dyDescent="0.3">
      <c r="H46" s="8" t="s">
        <v>146</v>
      </c>
      <c r="I46" s="21" t="s">
        <v>135</v>
      </c>
      <c r="J46" s="13"/>
      <c r="K46" s="8">
        <v>-700</v>
      </c>
      <c r="L46" s="26">
        <f>Table134567810111213141516171819202122232425[[#This Row],[الدولار]]+(Table134567810111213141516171819202122232425[[#This Row],[اللبناني]]/90)</f>
        <v>-700</v>
      </c>
      <c r="M46" s="6"/>
    </row>
    <row r="47" spans="3:13" s="8" customFormat="1" x14ac:dyDescent="0.3">
      <c r="H47" s="8" t="s">
        <v>144</v>
      </c>
      <c r="I47" s="21" t="s">
        <v>137</v>
      </c>
      <c r="J47" s="13">
        <v>-110</v>
      </c>
      <c r="K47" s="8">
        <v>30</v>
      </c>
      <c r="L47" s="26">
        <f>Table134567810111213141516171819202122232425[[#This Row],[الدولار]]+(Table134567810111213141516171819202122232425[[#This Row],[اللبناني]]/90)</f>
        <v>28.777777777777779</v>
      </c>
      <c r="M47" s="6"/>
    </row>
    <row r="48" spans="3:13" s="8" customFormat="1" x14ac:dyDescent="0.3">
      <c r="H48" s="8" t="s">
        <v>144</v>
      </c>
      <c r="I48" s="21" t="s">
        <v>138</v>
      </c>
      <c r="J48" s="13">
        <v>240</v>
      </c>
      <c r="L48" s="26">
        <f>Table134567810111213141516171819202122232425[[#This Row],[الدولار]]+(Table134567810111213141516171819202122232425[[#This Row],[اللبناني]]/90)</f>
        <v>2.6666666666666665</v>
      </c>
      <c r="M48" s="6"/>
    </row>
    <row r="49" spans="8:13" s="8" customFormat="1" x14ac:dyDescent="0.3">
      <c r="H49" s="8" t="s">
        <v>144</v>
      </c>
      <c r="I49" s="21" t="s">
        <v>139</v>
      </c>
      <c r="J49" s="13">
        <v>-675</v>
      </c>
      <c r="K49" s="8">
        <v>10</v>
      </c>
      <c r="L49" s="26">
        <f>Table134567810111213141516171819202122232425[[#This Row],[الدولار]]+(Table134567810111213141516171819202122232425[[#This Row],[اللبناني]]/90)</f>
        <v>2.5</v>
      </c>
      <c r="M49" s="6"/>
    </row>
    <row r="50" spans="8:13" s="8" customFormat="1" x14ac:dyDescent="0.3">
      <c r="H50" s="8" t="s">
        <v>145</v>
      </c>
      <c r="I50" s="21" t="s">
        <v>140</v>
      </c>
      <c r="J50" s="13">
        <v>-50</v>
      </c>
      <c r="L50" s="26">
        <f>Table134567810111213141516171819202122232425[[#This Row],[الدولار]]+(Table134567810111213141516171819202122232425[[#This Row],[اللبناني]]/90)</f>
        <v>-0.55555555555555558</v>
      </c>
      <c r="M50" s="6"/>
    </row>
    <row r="51" spans="8:13" s="8" customFormat="1" x14ac:dyDescent="0.3">
      <c r="H51" s="8" t="s">
        <v>144</v>
      </c>
      <c r="I51" s="21" t="s">
        <v>141</v>
      </c>
      <c r="J51" s="13">
        <v>900</v>
      </c>
      <c r="L51" s="26">
        <f>Table134567810111213141516171819202122232425[[#This Row],[الدولار]]+(Table134567810111213141516171819202122232425[[#This Row],[اللبناني]]/90)</f>
        <v>10</v>
      </c>
      <c r="M51" s="6"/>
    </row>
    <row r="52" spans="8:13" s="8" customFormat="1" x14ac:dyDescent="0.3">
      <c r="H52" s="8" t="s">
        <v>144</v>
      </c>
      <c r="I52" s="21" t="s">
        <v>142</v>
      </c>
      <c r="J52" s="13">
        <v>-450</v>
      </c>
      <c r="K52" s="8">
        <v>-50</v>
      </c>
      <c r="L52" s="26">
        <f>Table134567810111213141516171819202122232425[[#This Row],[الدولار]]+(Table134567810111213141516171819202122232425[[#This Row],[اللبناني]]/90)</f>
        <v>-55</v>
      </c>
      <c r="M52" s="6"/>
    </row>
    <row r="53" spans="8:13" s="8" customFormat="1" x14ac:dyDescent="0.3">
      <c r="H53" s="8" t="s">
        <v>144</v>
      </c>
      <c r="I53" s="21" t="s">
        <v>143</v>
      </c>
      <c r="J53" s="13">
        <v>-400</v>
      </c>
      <c r="K53" s="8">
        <v>10</v>
      </c>
      <c r="L53" s="26">
        <f>Table134567810111213141516171819202122232425[[#This Row],[الدولار]]+(Table134567810111213141516171819202122232425[[#This Row],[اللبناني]]/90)</f>
        <v>5.5555555555555554</v>
      </c>
      <c r="M53" s="6"/>
    </row>
    <row r="54" spans="8:13" s="8" customFormat="1" x14ac:dyDescent="0.3">
      <c r="H54" s="8" t="s">
        <v>144</v>
      </c>
      <c r="I54" s="21"/>
      <c r="J54" s="13">
        <v>-225</v>
      </c>
      <c r="K54" s="8">
        <v>80</v>
      </c>
      <c r="L54" s="26">
        <f>Table134567810111213141516171819202122232425[[#This Row],[الدولار]]+(Table134567810111213141516171819202122232425[[#This Row],[اللبناني]]/90)</f>
        <v>77.5</v>
      </c>
      <c r="M54" s="6"/>
    </row>
    <row r="55" spans="8:13" s="8" customFormat="1" x14ac:dyDescent="0.3">
      <c r="H55" s="8" t="s">
        <v>144</v>
      </c>
      <c r="I55" s="21"/>
      <c r="J55" s="13">
        <v>1500</v>
      </c>
      <c r="K55" s="8">
        <v>10</v>
      </c>
      <c r="L55" s="26">
        <f>Table134567810111213141516171819202122232425[[#This Row],[الدولار]]+(Table134567810111213141516171819202122232425[[#This Row],[اللبناني]]/90)</f>
        <v>26.666666666666668</v>
      </c>
      <c r="M55" s="6"/>
    </row>
    <row r="56" spans="8:13" s="8" customFormat="1" x14ac:dyDescent="0.3">
      <c r="H56" s="8" t="s">
        <v>144</v>
      </c>
      <c r="I56" s="21"/>
      <c r="J56" s="13">
        <v>350</v>
      </c>
      <c r="L56" s="26">
        <f>Table134567810111213141516171819202122232425[[#This Row],[الدولار]]+(Table134567810111213141516171819202122232425[[#This Row],[اللبناني]]/90)</f>
        <v>3.8888888888888888</v>
      </c>
      <c r="M56" s="6"/>
    </row>
    <row r="57" spans="8:13" s="8" customFormat="1" x14ac:dyDescent="0.3">
      <c r="H57" s="8" t="s">
        <v>144</v>
      </c>
      <c r="I57" s="21"/>
      <c r="J57" s="13">
        <v>100</v>
      </c>
      <c r="L57" s="26">
        <f>Table134567810111213141516171819202122232425[[#This Row],[الدولار]]+(Table134567810111213141516171819202122232425[[#This Row],[اللبناني]]/90)</f>
        <v>1.1111111111111112</v>
      </c>
      <c r="M57" s="6"/>
    </row>
    <row r="58" spans="8:13" s="8" customFormat="1" x14ac:dyDescent="0.3">
      <c r="H58" s="8" t="s">
        <v>144</v>
      </c>
      <c r="I58" s="21"/>
      <c r="J58" s="13">
        <v>-250</v>
      </c>
      <c r="K58" s="8">
        <v>10</v>
      </c>
      <c r="L58" s="26">
        <f>Table134567810111213141516171819202122232425[[#This Row],[الدولار]]+(Table134567810111213141516171819202122232425[[#This Row],[اللبناني]]/90)</f>
        <v>7.2222222222222223</v>
      </c>
      <c r="M58" s="6"/>
    </row>
    <row r="59" spans="8:13" s="8" customFormat="1" x14ac:dyDescent="0.3">
      <c r="H59" s="8" t="s">
        <v>144</v>
      </c>
      <c r="I59" s="21" t="s">
        <v>62</v>
      </c>
      <c r="J59" s="13">
        <v>-625</v>
      </c>
      <c r="K59" s="8">
        <v>3</v>
      </c>
      <c r="L59" s="26">
        <f>Table134567810111213141516171819202122232425[[#This Row],[الدولار]]+(Table134567810111213141516171819202122232425[[#This Row],[اللبناني]]/90)</f>
        <v>-3.9444444444444446</v>
      </c>
      <c r="M59" s="6"/>
    </row>
    <row r="60" spans="8:13" s="8" customFormat="1" x14ac:dyDescent="0.3">
      <c r="H60" s="8" t="s">
        <v>144</v>
      </c>
      <c r="I60" s="21"/>
      <c r="J60" s="13">
        <v>120</v>
      </c>
      <c r="L60" s="26">
        <f>Table134567810111213141516171819202122232425[[#This Row],[الدولار]]+(Table134567810111213141516171819202122232425[[#This Row],[اللبناني]]/90)</f>
        <v>1.3333333333333333</v>
      </c>
      <c r="M60" s="6"/>
    </row>
    <row r="61" spans="8:13" s="8" customFormat="1" x14ac:dyDescent="0.3">
      <c r="H61" s="8" t="s">
        <v>144</v>
      </c>
      <c r="I61" s="21"/>
      <c r="J61" s="13">
        <v>-90</v>
      </c>
      <c r="K61" s="8">
        <v>5</v>
      </c>
      <c r="L61" s="26">
        <f>Table134567810111213141516171819202122232425[[#This Row],[الدولار]]+(Table134567810111213141516171819202122232425[[#This Row],[اللبناني]]/90)</f>
        <v>4</v>
      </c>
      <c r="M61" s="6"/>
    </row>
    <row r="62" spans="8:13" s="8" customFormat="1" x14ac:dyDescent="0.3">
      <c r="H62" s="8" t="s">
        <v>144</v>
      </c>
      <c r="I62" s="21"/>
      <c r="J62" s="13">
        <v>-180</v>
      </c>
      <c r="K62" s="8">
        <v>10</v>
      </c>
      <c r="L62" s="26">
        <f>Table134567810111213141516171819202122232425[[#This Row],[الدولار]]+(Table134567810111213141516171819202122232425[[#This Row],[اللبناني]]/90)</f>
        <v>8</v>
      </c>
      <c r="M62" s="6"/>
    </row>
    <row r="63" spans="8:13" s="8" customFormat="1" x14ac:dyDescent="0.3">
      <c r="H63" s="8" t="s">
        <v>144</v>
      </c>
      <c r="I63" s="21"/>
      <c r="J63" s="13"/>
      <c r="K63" s="8">
        <v>15</v>
      </c>
      <c r="L63" s="26">
        <f>Table134567810111213141516171819202122232425[[#This Row],[الدولار]]+(Table134567810111213141516171819202122232425[[#This Row],[اللبناني]]/90)</f>
        <v>15</v>
      </c>
      <c r="M63" s="6"/>
    </row>
    <row r="64" spans="8:13" s="8" customFormat="1" x14ac:dyDescent="0.3">
      <c r="H64" s="8" t="s">
        <v>144</v>
      </c>
      <c r="I64" s="21"/>
      <c r="J64" s="13">
        <v>-30</v>
      </c>
      <c r="L64" s="26">
        <f>Table134567810111213141516171819202122232425[[#This Row],[الدولار]]+(Table134567810111213141516171819202122232425[[#This Row],[اللبناني]]/90)</f>
        <v>-0.33333333333333331</v>
      </c>
      <c r="M64" s="6"/>
    </row>
    <row r="65" spans="8:13" s="8" customFormat="1" x14ac:dyDescent="0.3">
      <c r="H65" s="8" t="s">
        <v>144</v>
      </c>
      <c r="I65" s="21"/>
      <c r="J65" s="13">
        <v>900</v>
      </c>
      <c r="L65" s="26">
        <f>Table134567810111213141516171819202122232425[[#This Row],[الدولار]]+(Table134567810111213141516171819202122232425[[#This Row],[اللبناني]]/90)</f>
        <v>10</v>
      </c>
      <c r="M65" s="6"/>
    </row>
    <row r="66" spans="8:13" s="8" customFormat="1" x14ac:dyDescent="0.3">
      <c r="H66" s="8" t="s">
        <v>146</v>
      </c>
      <c r="I66" s="21" t="s">
        <v>135</v>
      </c>
      <c r="J66" s="13">
        <v>-2000</v>
      </c>
      <c r="L66" s="26">
        <f>Table134567810111213141516171819202122232425[[#This Row],[الدولار]]+(Table134567810111213141516171819202122232425[[#This Row],[اللبناني]]/90)</f>
        <v>-22.222222222222221</v>
      </c>
      <c r="M66" s="6"/>
    </row>
    <row r="67" spans="8:13" s="8" customFormat="1" x14ac:dyDescent="0.3">
      <c r="H67" s="8" t="s">
        <v>144</v>
      </c>
      <c r="I67" s="21"/>
      <c r="J67" s="13">
        <v>1000</v>
      </c>
      <c r="L67" s="26">
        <f>Table134567810111213141516171819202122232425[[#This Row],[الدولار]]+(Table134567810111213141516171819202122232425[[#This Row],[اللبناني]]/90)</f>
        <v>11.111111111111111</v>
      </c>
      <c r="M67" s="6"/>
    </row>
    <row r="68" spans="8:13" s="8" customFormat="1" x14ac:dyDescent="0.3">
      <c r="H68" s="8" t="s">
        <v>144</v>
      </c>
      <c r="I68" s="21"/>
      <c r="J68" s="13">
        <v>-540</v>
      </c>
      <c r="K68" s="8">
        <v>40</v>
      </c>
      <c r="L68" s="26">
        <f>Table134567810111213141516171819202122232425[[#This Row],[الدولار]]+(Table134567810111213141516171819202122232425[[#This Row],[اللبناني]]/90)</f>
        <v>34</v>
      </c>
      <c r="M68" s="6"/>
    </row>
    <row r="69" spans="8:13" s="8" customFormat="1" x14ac:dyDescent="0.3">
      <c r="H69" s="8" t="s">
        <v>144</v>
      </c>
      <c r="I69" s="21"/>
      <c r="J69" s="13"/>
      <c r="K69" s="8">
        <v>4000</v>
      </c>
      <c r="L69" s="26">
        <f>Table134567810111213141516171819202122232425[[#This Row],[الدولار]]+(Table134567810111213141516171819202122232425[[#This Row],[اللبناني]]/90)</f>
        <v>4000</v>
      </c>
      <c r="M69" s="6"/>
    </row>
    <row r="70" spans="8:13" s="8" customFormat="1" x14ac:dyDescent="0.3">
      <c r="H70" s="8" t="s">
        <v>144</v>
      </c>
      <c r="I70" s="21"/>
      <c r="J70" s="13">
        <v>500</v>
      </c>
      <c r="L70" s="26">
        <f>Table134567810111213141516171819202122232425[[#This Row],[الدولار]]+(Table134567810111213141516171819202122232425[[#This Row],[اللبناني]]/90)</f>
        <v>5.5555555555555554</v>
      </c>
      <c r="M70" s="6"/>
    </row>
    <row r="71" spans="8:13" s="8" customFormat="1" x14ac:dyDescent="0.3">
      <c r="H71" s="8" t="s">
        <v>144</v>
      </c>
      <c r="I71" s="21"/>
      <c r="J71" s="13">
        <v>-180</v>
      </c>
      <c r="K71" s="8">
        <v>10</v>
      </c>
      <c r="L71" s="26">
        <f>Table134567810111213141516171819202122232425[[#This Row],[الدولار]]+(Table134567810111213141516171819202122232425[[#This Row],[اللبناني]]/90)</f>
        <v>8</v>
      </c>
      <c r="M71" s="6"/>
    </row>
    <row r="72" spans="8:13" s="8" customFormat="1" x14ac:dyDescent="0.3">
      <c r="H72" s="8" t="s">
        <v>144</v>
      </c>
      <c r="I72" s="21"/>
      <c r="J72" s="13"/>
      <c r="K72" s="8">
        <v>70</v>
      </c>
      <c r="L72" s="26">
        <f>Table134567810111213141516171819202122232425[[#This Row],[الدولار]]+(Table134567810111213141516171819202122232425[[#This Row],[اللبناني]]/90)</f>
        <v>70</v>
      </c>
      <c r="M72" s="6"/>
    </row>
    <row r="73" spans="8:13" s="8" customFormat="1" x14ac:dyDescent="0.3">
      <c r="H73" s="8" t="s">
        <v>144</v>
      </c>
      <c r="I73" s="21"/>
      <c r="J73" s="13">
        <v>50</v>
      </c>
      <c r="K73" s="8">
        <v>5</v>
      </c>
      <c r="L73" s="26">
        <f>Table134567810111213141516171819202122232425[[#This Row],[الدولار]]+(Table134567810111213141516171819202122232425[[#This Row],[اللبناني]]/90)</f>
        <v>5.5555555555555554</v>
      </c>
      <c r="M73" s="6"/>
    </row>
    <row r="74" spans="8:13" s="8" customFormat="1" x14ac:dyDescent="0.3">
      <c r="H74" s="8" t="s">
        <v>144</v>
      </c>
      <c r="I74" s="21"/>
      <c r="J74" s="13">
        <v>180</v>
      </c>
      <c r="L74" s="26">
        <f>Table134567810111213141516171819202122232425[[#This Row],[الدولار]]+(Table134567810111213141516171819202122232425[[#This Row],[اللبناني]]/90)</f>
        <v>2</v>
      </c>
      <c r="M74" s="6"/>
    </row>
    <row r="75" spans="8:13" s="8" customFormat="1" x14ac:dyDescent="0.3">
      <c r="H75" s="8" t="s">
        <v>144</v>
      </c>
      <c r="I75" s="21"/>
      <c r="J75" s="13">
        <v>220</v>
      </c>
      <c r="L75" s="26">
        <f>Table134567810111213141516171819202122232425[[#This Row],[الدولار]]+(Table134567810111213141516171819202122232425[[#This Row],[اللبناني]]/90)</f>
        <v>2.4444444444444446</v>
      </c>
      <c r="M75" s="6"/>
    </row>
    <row r="76" spans="8:13" s="8" customFormat="1" x14ac:dyDescent="0.3">
      <c r="H76" s="8" t="s">
        <v>144</v>
      </c>
      <c r="I76" s="21"/>
      <c r="J76" s="13">
        <v>-250</v>
      </c>
      <c r="K76" s="8">
        <v>10</v>
      </c>
      <c r="L76" s="26">
        <f>Table134567810111213141516171819202122232425[[#This Row],[الدولار]]+(Table134567810111213141516171819202122232425[[#This Row],[اللبناني]]/90)</f>
        <v>7.2222222222222223</v>
      </c>
      <c r="M76" s="6"/>
    </row>
    <row r="77" spans="8:13" s="8" customFormat="1" x14ac:dyDescent="0.3">
      <c r="H77" s="8" t="s">
        <v>144</v>
      </c>
      <c r="I77" s="21"/>
      <c r="J77" s="13">
        <v>450</v>
      </c>
      <c r="K77" s="8">
        <v>10</v>
      </c>
      <c r="L77" s="26">
        <f>Table134567810111213141516171819202122232425[[#This Row],[الدولار]]+(Table134567810111213141516171819202122232425[[#This Row],[اللبناني]]/90)</f>
        <v>15</v>
      </c>
      <c r="M77" s="6"/>
    </row>
    <row r="78" spans="8:13" s="8" customFormat="1" x14ac:dyDescent="0.3">
      <c r="H78" s="8" t="s">
        <v>144</v>
      </c>
      <c r="I78" s="21"/>
      <c r="J78" s="13">
        <v>320</v>
      </c>
      <c r="L78" s="26">
        <f>Table134567810111213141516171819202122232425[[#This Row],[الدولار]]+(Table134567810111213141516171819202122232425[[#This Row],[اللبناني]]/90)</f>
        <v>3.5555555555555554</v>
      </c>
      <c r="M78" s="6"/>
    </row>
    <row r="79" spans="8:13" s="8" customFormat="1" x14ac:dyDescent="0.3">
      <c r="H79" s="8" t="s">
        <v>144</v>
      </c>
      <c r="I79" s="21"/>
      <c r="J79" s="13">
        <v>-270</v>
      </c>
      <c r="K79" s="8">
        <v>30</v>
      </c>
      <c r="L79" s="26">
        <f>Table134567810111213141516171819202122232425[[#This Row],[الدولار]]+(Table134567810111213141516171819202122232425[[#This Row],[اللبناني]]/90)</f>
        <v>27</v>
      </c>
      <c r="M79" s="6"/>
    </row>
    <row r="80" spans="8:13" s="8" customFormat="1" x14ac:dyDescent="0.3">
      <c r="H80" s="8" t="s">
        <v>144</v>
      </c>
      <c r="I80" s="21"/>
      <c r="J80" s="13"/>
      <c r="K80" s="8">
        <v>150</v>
      </c>
      <c r="L80" s="26">
        <f>Table134567810111213141516171819202122232425[[#This Row],[الدولار]]+(Table134567810111213141516171819202122232425[[#This Row],[اللبناني]]/90)</f>
        <v>150</v>
      </c>
      <c r="M80" s="6"/>
    </row>
    <row r="81" spans="8:13" s="8" customFormat="1" x14ac:dyDescent="0.3">
      <c r="H81" s="8" t="s">
        <v>144</v>
      </c>
      <c r="I81" s="21"/>
      <c r="J81" s="13">
        <v>150</v>
      </c>
      <c r="L81" s="26">
        <f>Table134567810111213141516171819202122232425[[#This Row],[الدولار]]+(Table134567810111213141516171819202122232425[[#This Row],[اللبناني]]/90)</f>
        <v>1.6666666666666667</v>
      </c>
      <c r="M81" s="6"/>
    </row>
    <row r="82" spans="8:13" s="8" customFormat="1" x14ac:dyDescent="0.3">
      <c r="H82" s="8" t="s">
        <v>144</v>
      </c>
      <c r="I82" s="21"/>
      <c r="J82" s="13">
        <v>-225</v>
      </c>
      <c r="K82" s="8">
        <v>5</v>
      </c>
      <c r="L82" s="26">
        <f>Table134567810111213141516171819202122232425[[#This Row],[الدولار]]+(Table134567810111213141516171819202122232425[[#This Row],[اللبناني]]/90)</f>
        <v>2.5</v>
      </c>
      <c r="M82" s="6"/>
    </row>
    <row r="83" spans="8:13" s="8" customFormat="1" x14ac:dyDescent="0.3">
      <c r="H83" s="8" t="s">
        <v>144</v>
      </c>
      <c r="I83" s="21"/>
      <c r="J83" s="13">
        <v>220</v>
      </c>
      <c r="L83" s="26">
        <f>Table134567810111213141516171819202122232425[[#This Row],[الدولار]]+(Table134567810111213141516171819202122232425[[#This Row],[اللبناني]]/90)</f>
        <v>2.4444444444444446</v>
      </c>
      <c r="M83" s="6"/>
    </row>
    <row r="84" spans="8:13" s="8" customFormat="1" x14ac:dyDescent="0.3">
      <c r="H84" s="8" t="s">
        <v>144</v>
      </c>
      <c r="I84" s="21"/>
      <c r="J84" s="13">
        <v>100</v>
      </c>
      <c r="L84" s="26">
        <f>Table134567810111213141516171819202122232425[[#This Row],[الدولار]]+(Table134567810111213141516171819202122232425[[#This Row],[اللبناني]]/90)</f>
        <v>1.1111111111111112</v>
      </c>
      <c r="M84" s="6"/>
    </row>
    <row r="85" spans="8:13" s="8" customFormat="1" x14ac:dyDescent="0.3">
      <c r="H85" s="8" t="s">
        <v>144</v>
      </c>
      <c r="I85" s="21"/>
      <c r="J85" s="13">
        <v>350</v>
      </c>
      <c r="L85" s="26">
        <f>Table134567810111213141516171819202122232425[[#This Row],[الدولار]]+(Table134567810111213141516171819202122232425[[#This Row],[اللبناني]]/90)</f>
        <v>3.8888888888888888</v>
      </c>
      <c r="M85" s="6"/>
    </row>
    <row r="86" spans="8:13" s="8" customFormat="1" x14ac:dyDescent="0.3">
      <c r="H86" s="8" t="s">
        <v>144</v>
      </c>
      <c r="I86" s="21"/>
      <c r="J86" s="13">
        <v>-400</v>
      </c>
      <c r="K86" s="8">
        <v>10</v>
      </c>
      <c r="L86" s="26">
        <f>Table134567810111213141516171819202122232425[[#This Row],[الدولار]]+(Table134567810111213141516171819202122232425[[#This Row],[اللبناني]]/90)</f>
        <v>5.5555555555555554</v>
      </c>
      <c r="M86" s="6"/>
    </row>
    <row r="87" spans="8:13" s="8" customFormat="1" x14ac:dyDescent="0.3">
      <c r="H87" s="8" t="s">
        <v>144</v>
      </c>
      <c r="I87" s="21"/>
      <c r="J87" s="13"/>
      <c r="K87" s="8">
        <v>10</v>
      </c>
      <c r="L87" s="26">
        <f>Table134567810111213141516171819202122232425[[#This Row],[الدولار]]+(Table134567810111213141516171819202122232425[[#This Row],[اللبناني]]/90)</f>
        <v>10</v>
      </c>
      <c r="M87" s="6"/>
    </row>
    <row r="88" spans="8:13" s="8" customFormat="1" x14ac:dyDescent="0.3">
      <c r="H88" s="8" t="s">
        <v>144</v>
      </c>
      <c r="I88" s="21"/>
      <c r="J88" s="13">
        <v>80</v>
      </c>
      <c r="L88" s="26">
        <f>Table134567810111213141516171819202122232425[[#This Row],[الدولار]]+(Table134567810111213141516171819202122232425[[#This Row],[اللبناني]]/90)</f>
        <v>0.88888888888888884</v>
      </c>
      <c r="M88" s="6"/>
    </row>
    <row r="89" spans="8:13" s="8" customFormat="1" x14ac:dyDescent="0.3">
      <c r="H89" s="8" t="s">
        <v>144</v>
      </c>
      <c r="I89" s="21"/>
      <c r="J89" s="13">
        <v>-270</v>
      </c>
      <c r="K89" s="8">
        <v>110</v>
      </c>
      <c r="L89" s="26">
        <f>Table134567810111213141516171819202122232425[[#This Row],[الدولار]]+(Table134567810111213141516171819202122232425[[#This Row],[اللبناني]]/90)</f>
        <v>107</v>
      </c>
      <c r="M89" s="6"/>
    </row>
    <row r="90" spans="8:13" s="8" customFormat="1" x14ac:dyDescent="0.3">
      <c r="H90" s="8" t="s">
        <v>144</v>
      </c>
      <c r="I90" s="21"/>
      <c r="J90" s="13">
        <v>415</v>
      </c>
      <c r="L90" s="26">
        <f>Table134567810111213141516171819202122232425[[#This Row],[الدولار]]+(Table134567810111213141516171819202122232425[[#This Row],[اللبناني]]/90)</f>
        <v>4.6111111111111107</v>
      </c>
      <c r="M90" s="6"/>
    </row>
    <row r="91" spans="8:13" s="8" customFormat="1" x14ac:dyDescent="0.3">
      <c r="H91" s="8" t="s">
        <v>144</v>
      </c>
      <c r="I91" s="21"/>
      <c r="J91" s="13">
        <v>660</v>
      </c>
      <c r="L91" s="26">
        <f>Table134567810111213141516171819202122232425[[#This Row],[الدولار]]+(Table134567810111213141516171819202122232425[[#This Row],[اللبناني]]/90)</f>
        <v>7.333333333333333</v>
      </c>
      <c r="M91" s="6"/>
    </row>
    <row r="92" spans="8:13" s="8" customFormat="1" x14ac:dyDescent="0.3">
      <c r="H92" s="8" t="s">
        <v>144</v>
      </c>
      <c r="I92" s="21"/>
      <c r="J92" s="13">
        <v>-600</v>
      </c>
      <c r="K92" s="8">
        <v>10</v>
      </c>
      <c r="L92" s="26">
        <f>Table134567810111213141516171819202122232425[[#This Row],[الدولار]]+(Table134567810111213141516171819202122232425[[#This Row],[اللبناني]]/90)</f>
        <v>3.333333333333333</v>
      </c>
      <c r="M92" s="6"/>
    </row>
    <row r="93" spans="8:13" s="8" customFormat="1" x14ac:dyDescent="0.3">
      <c r="H93" s="8" t="s">
        <v>144</v>
      </c>
      <c r="I93" s="21"/>
      <c r="J93" s="13">
        <v>150</v>
      </c>
      <c r="L93" s="26">
        <f>Table134567810111213141516171819202122232425[[#This Row],[الدولار]]+(Table134567810111213141516171819202122232425[[#This Row],[اللبناني]]/90)</f>
        <v>1.6666666666666667</v>
      </c>
      <c r="M93" s="6"/>
    </row>
    <row r="94" spans="8:13" s="8" customFormat="1" x14ac:dyDescent="0.3">
      <c r="H94" s="8" t="s">
        <v>144</v>
      </c>
      <c r="I94" s="21"/>
      <c r="J94" s="13"/>
      <c r="K94" s="8">
        <v>90</v>
      </c>
      <c r="L94" s="26">
        <f>Table134567810111213141516171819202122232425[[#This Row],[الدولار]]+(Table134567810111213141516171819202122232425[[#This Row],[اللبناني]]/90)</f>
        <v>90</v>
      </c>
      <c r="M94" s="6"/>
    </row>
    <row r="95" spans="8:13" s="8" customFormat="1" x14ac:dyDescent="0.3">
      <c r="H95" s="8" t="s">
        <v>144</v>
      </c>
      <c r="I95" s="21"/>
      <c r="J95" s="13">
        <v>-270</v>
      </c>
      <c r="L95" s="26">
        <f>Table134567810111213141516171819202122232425[[#This Row],[الدولار]]+(Table134567810111213141516171819202122232425[[#This Row],[اللبناني]]/90)</f>
        <v>-3</v>
      </c>
      <c r="M95" s="6"/>
    </row>
    <row r="96" spans="8:13" s="8" customFormat="1" x14ac:dyDescent="0.3">
      <c r="H96" s="8" t="s">
        <v>144</v>
      </c>
      <c r="I96" s="21"/>
      <c r="J96" s="13"/>
      <c r="K96" s="8">
        <v>70</v>
      </c>
      <c r="L96" s="26">
        <f>Table134567810111213141516171819202122232425[[#This Row],[الدولار]]+(Table134567810111213141516171819202122232425[[#This Row],[اللبناني]]/90)</f>
        <v>70</v>
      </c>
      <c r="M96" s="6"/>
    </row>
    <row r="97" spans="8:13" s="8" customFormat="1" x14ac:dyDescent="0.3">
      <c r="H97" s="8" t="s">
        <v>144</v>
      </c>
      <c r="I97" s="21"/>
      <c r="J97" s="13"/>
      <c r="K97" s="8">
        <v>40</v>
      </c>
      <c r="L97" s="26">
        <f>Table134567810111213141516171819202122232425[[#This Row],[الدولار]]+(Table134567810111213141516171819202122232425[[#This Row],[اللبناني]]/90)</f>
        <v>40</v>
      </c>
      <c r="M97" s="6"/>
    </row>
    <row r="98" spans="8:13" s="8" customFormat="1" x14ac:dyDescent="0.3">
      <c r="H98" s="8" t="s">
        <v>144</v>
      </c>
      <c r="I98" s="21"/>
      <c r="J98" s="13"/>
      <c r="K98" s="8">
        <v>5</v>
      </c>
      <c r="L98" s="26">
        <f>Table134567810111213141516171819202122232425[[#This Row],[الدولار]]+(Table134567810111213141516171819202122232425[[#This Row],[اللبناني]]/90)</f>
        <v>5</v>
      </c>
      <c r="M98" s="6"/>
    </row>
    <row r="99" spans="8:13" s="8" customFormat="1" x14ac:dyDescent="0.3">
      <c r="H99" s="8" t="s">
        <v>144</v>
      </c>
      <c r="I99" s="21"/>
      <c r="J99" s="13"/>
      <c r="K99" s="8">
        <v>5</v>
      </c>
      <c r="L99" s="26">
        <f>Table134567810111213141516171819202122232425[[#This Row],[الدولار]]+(Table134567810111213141516171819202122232425[[#This Row],[اللبناني]]/90)</f>
        <v>5</v>
      </c>
      <c r="M99" s="6"/>
    </row>
    <row r="100" spans="8:13" s="8" customFormat="1" x14ac:dyDescent="0.3">
      <c r="H100" s="8" t="s">
        <v>144</v>
      </c>
      <c r="I100" s="21"/>
      <c r="J100" s="13">
        <v>-100</v>
      </c>
      <c r="L100" s="26">
        <f>Table134567810111213141516171819202122232425[[#This Row],[الدولار]]+(Table134567810111213141516171819202122232425[[#This Row],[اللبناني]]/90)</f>
        <v>-1.1111111111111112</v>
      </c>
      <c r="M100" s="6"/>
    </row>
    <row r="101" spans="8:13" s="8" customFormat="1" x14ac:dyDescent="0.3">
      <c r="H101" s="8" t="s">
        <v>144</v>
      </c>
      <c r="I101" s="21"/>
      <c r="J101" s="13">
        <v>180</v>
      </c>
      <c r="L101" s="26">
        <f>Table134567810111213141516171819202122232425[[#This Row],[الدولار]]+(Table134567810111213141516171819202122232425[[#This Row],[اللبناني]]/90)</f>
        <v>2</v>
      </c>
      <c r="M101" s="6"/>
    </row>
    <row r="102" spans="8:13" s="8" customFormat="1" x14ac:dyDescent="0.3">
      <c r="H102" s="8" t="s">
        <v>144</v>
      </c>
      <c r="I102" s="21"/>
      <c r="J102" s="13">
        <v>100</v>
      </c>
      <c r="L102" s="26">
        <f>Table134567810111213141516171819202122232425[[#This Row],[الدولار]]+(Table134567810111213141516171819202122232425[[#This Row],[اللبناني]]/90)</f>
        <v>1.1111111111111112</v>
      </c>
      <c r="M102" s="6"/>
    </row>
    <row r="103" spans="8:13" s="8" customFormat="1" x14ac:dyDescent="0.3">
      <c r="H103" s="8" t="s">
        <v>144</v>
      </c>
      <c r="I103" s="21"/>
      <c r="J103" s="13">
        <v>180</v>
      </c>
      <c r="L103" s="26">
        <f>Table134567810111213141516171819202122232425[[#This Row],[الدولار]]+(Table134567810111213141516171819202122232425[[#This Row],[اللبناني]]/90)</f>
        <v>2</v>
      </c>
      <c r="M103" s="6"/>
    </row>
    <row r="104" spans="8:13" s="8" customFormat="1" x14ac:dyDescent="0.3">
      <c r="H104" s="8" t="s">
        <v>144</v>
      </c>
      <c r="I104" s="21"/>
      <c r="J104" s="13"/>
      <c r="K104" s="8">
        <v>10</v>
      </c>
      <c r="L104" s="26">
        <f>Table134567810111213141516171819202122232425[[#This Row],[الدولار]]+(Table134567810111213141516171819202122232425[[#This Row],[اللبناني]]/90)</f>
        <v>10</v>
      </c>
      <c r="M104" s="6"/>
    </row>
    <row r="105" spans="8:13" s="8" customFormat="1" x14ac:dyDescent="0.3">
      <c r="H105" s="8" t="s">
        <v>144</v>
      </c>
      <c r="I105" s="21"/>
      <c r="J105" s="13">
        <v>70</v>
      </c>
      <c r="L105" s="26">
        <f>Table134567810111213141516171819202122232425[[#This Row],[الدولار]]+(Table134567810111213141516171819202122232425[[#This Row],[اللبناني]]/90)</f>
        <v>0.77777777777777779</v>
      </c>
      <c r="M105" s="6"/>
    </row>
    <row r="106" spans="8:13" s="8" customFormat="1" x14ac:dyDescent="0.3">
      <c r="H106" s="8" t="s">
        <v>145</v>
      </c>
      <c r="I106" s="21"/>
      <c r="J106" s="13">
        <v>-300</v>
      </c>
      <c r="L106" s="26">
        <f>Table134567810111213141516171819202122232425[[#This Row],[الدولار]]+(Table134567810111213141516171819202122232425[[#This Row],[اللبناني]]/90)</f>
        <v>-3.3333333333333335</v>
      </c>
      <c r="M106" s="6"/>
    </row>
    <row r="107" spans="8:13" s="8" customFormat="1" x14ac:dyDescent="0.3">
      <c r="H107" s="8" t="s">
        <v>144</v>
      </c>
      <c r="I107" s="21"/>
      <c r="J107" s="13">
        <v>100</v>
      </c>
      <c r="L107" s="26">
        <f>Table134567810111213141516171819202122232425[[#This Row],[الدولار]]+(Table134567810111213141516171819202122232425[[#This Row],[اللبناني]]/90)</f>
        <v>1.1111111111111112</v>
      </c>
      <c r="M107" s="6"/>
    </row>
    <row r="108" spans="8:13" s="8" customFormat="1" x14ac:dyDescent="0.3">
      <c r="H108" s="8" t="s">
        <v>144</v>
      </c>
      <c r="I108" s="21"/>
      <c r="J108" s="13">
        <v>100</v>
      </c>
      <c r="L108" s="26">
        <f>Table134567810111213141516171819202122232425[[#This Row],[الدولار]]+(Table134567810111213141516171819202122232425[[#This Row],[اللبناني]]/90)</f>
        <v>1.1111111111111112</v>
      </c>
      <c r="M108" s="6"/>
    </row>
    <row r="109" spans="8:13" s="8" customFormat="1" x14ac:dyDescent="0.3">
      <c r="H109" s="8" t="s">
        <v>144</v>
      </c>
      <c r="I109" s="21"/>
      <c r="J109" s="13">
        <v>-400</v>
      </c>
      <c r="K109" s="8">
        <v>20</v>
      </c>
      <c r="L109" s="26">
        <f>Table134567810111213141516171819202122232425[[#This Row],[الدولار]]+(Table134567810111213141516171819202122232425[[#This Row],[اللبناني]]/90)</f>
        <v>15.555555555555555</v>
      </c>
      <c r="M109" s="6"/>
    </row>
    <row r="110" spans="8:13" s="8" customFormat="1" x14ac:dyDescent="0.3">
      <c r="H110" s="8" t="s">
        <v>144</v>
      </c>
      <c r="I110" s="21"/>
      <c r="J110" s="13">
        <v>50</v>
      </c>
      <c r="L110" s="26">
        <f>Table134567810111213141516171819202122232425[[#This Row],[الدولار]]+(Table134567810111213141516171819202122232425[[#This Row],[اللبناني]]/90)</f>
        <v>0.55555555555555558</v>
      </c>
      <c r="M110" s="6"/>
    </row>
    <row r="111" spans="8:13" s="8" customFormat="1" x14ac:dyDescent="0.3">
      <c r="H111" s="8" t="s">
        <v>144</v>
      </c>
      <c r="I111" s="21"/>
      <c r="J111" s="13">
        <v>170</v>
      </c>
      <c r="L111" s="26">
        <f>Table134567810111213141516171819202122232425[[#This Row],[الدولار]]+(Table134567810111213141516171819202122232425[[#This Row],[اللبناني]]/90)</f>
        <v>1.8888888888888888</v>
      </c>
      <c r="M111" s="6"/>
    </row>
    <row r="112" spans="8:13" s="8" customFormat="1" x14ac:dyDescent="0.3">
      <c r="H112" s="8" t="s">
        <v>144</v>
      </c>
      <c r="I112" s="21"/>
      <c r="J112" s="13"/>
      <c r="K112" s="8">
        <v>50</v>
      </c>
      <c r="L112" s="26">
        <f>Table134567810111213141516171819202122232425[[#This Row],[الدولار]]+(Table134567810111213141516171819202122232425[[#This Row],[اللبناني]]/90)</f>
        <v>50</v>
      </c>
      <c r="M112" s="6"/>
    </row>
    <row r="113" spans="8:13" s="8" customFormat="1" x14ac:dyDescent="0.3">
      <c r="H113" s="8" t="s">
        <v>144</v>
      </c>
      <c r="I113" s="21"/>
      <c r="J113" s="13">
        <v>160</v>
      </c>
      <c r="L113" s="26">
        <f>Table134567810111213141516171819202122232425[[#This Row],[الدولار]]+(Table134567810111213141516171819202122232425[[#This Row],[اللبناني]]/90)</f>
        <v>1.7777777777777777</v>
      </c>
      <c r="M113" s="6"/>
    </row>
    <row r="114" spans="8:13" s="8" customFormat="1" x14ac:dyDescent="0.3">
      <c r="H114" s="8" t="s">
        <v>144</v>
      </c>
      <c r="I114" s="21"/>
      <c r="J114" s="13">
        <v>-180</v>
      </c>
      <c r="K114" s="8">
        <v>5</v>
      </c>
      <c r="L114" s="26">
        <f>Table134567810111213141516171819202122232425[[#This Row],[الدولار]]+(Table134567810111213141516171819202122232425[[#This Row],[اللبناني]]/90)</f>
        <v>3</v>
      </c>
      <c r="M114" s="6"/>
    </row>
    <row r="115" spans="8:13" s="8" customFormat="1" x14ac:dyDescent="0.3">
      <c r="H115" s="8" t="s">
        <v>144</v>
      </c>
      <c r="I115" s="21"/>
      <c r="J115" s="13">
        <v>400</v>
      </c>
      <c r="L115" s="26">
        <f>Table134567810111213141516171819202122232425[[#This Row],[الدولار]]+(Table134567810111213141516171819202122232425[[#This Row],[اللبناني]]/90)</f>
        <v>4.4444444444444446</v>
      </c>
      <c r="M115" s="6"/>
    </row>
    <row r="116" spans="8:13" s="8" customFormat="1" x14ac:dyDescent="0.3">
      <c r="H116" s="8" t="s">
        <v>144</v>
      </c>
      <c r="I116" s="21"/>
      <c r="J116" s="13"/>
      <c r="K116" s="8">
        <v>25</v>
      </c>
      <c r="L116" s="26">
        <f>Table134567810111213141516171819202122232425[[#This Row],[الدولار]]+(Table134567810111213141516171819202122232425[[#This Row],[اللبناني]]/90)</f>
        <v>25</v>
      </c>
      <c r="M116" s="6"/>
    </row>
    <row r="117" spans="8:13" s="8" customFormat="1" x14ac:dyDescent="0.3">
      <c r="H117" s="8" t="s">
        <v>144</v>
      </c>
      <c r="I117" s="21"/>
      <c r="J117" s="13">
        <v>160</v>
      </c>
      <c r="K117" s="8">
        <v>5</v>
      </c>
      <c r="L117" s="26">
        <f>Table134567810111213141516171819202122232425[[#This Row],[الدولار]]+(Table134567810111213141516171819202122232425[[#This Row],[اللبناني]]/90)</f>
        <v>6.7777777777777777</v>
      </c>
      <c r="M117" s="6"/>
    </row>
    <row r="118" spans="8:13" s="8" customFormat="1" x14ac:dyDescent="0.3">
      <c r="H118" s="8" t="s">
        <v>144</v>
      </c>
      <c r="I118" s="21"/>
      <c r="J118" s="13">
        <v>200</v>
      </c>
      <c r="L118" s="26">
        <f>Table134567810111213141516171819202122232425[[#This Row],[الدولار]]+(Table134567810111213141516171819202122232425[[#This Row],[اللبناني]]/90)</f>
        <v>2.2222222222222223</v>
      </c>
      <c r="M118" s="6"/>
    </row>
    <row r="119" spans="8:13" s="8" customFormat="1" x14ac:dyDescent="0.3">
      <c r="H119" s="8" t="s">
        <v>144</v>
      </c>
      <c r="I119" s="21"/>
      <c r="J119" s="13">
        <v>90</v>
      </c>
      <c r="K119" s="8">
        <v>-10</v>
      </c>
      <c r="L119" s="26">
        <f>Table134567810111213141516171819202122232425[[#This Row],[الدولار]]+(Table134567810111213141516171819202122232425[[#This Row],[اللبناني]]/90)</f>
        <v>-9</v>
      </c>
      <c r="M119" s="6"/>
    </row>
    <row r="120" spans="8:13" s="8" customFormat="1" x14ac:dyDescent="0.3">
      <c r="H120" s="8" t="s">
        <v>144</v>
      </c>
      <c r="I120" s="21"/>
      <c r="J120" s="13">
        <v>300</v>
      </c>
      <c r="L120" s="26">
        <f>Table134567810111213141516171819202122232425[[#This Row],[الدولار]]+(Table134567810111213141516171819202122232425[[#This Row],[اللبناني]]/90)</f>
        <v>3.3333333333333335</v>
      </c>
      <c r="M120" s="6"/>
    </row>
    <row r="121" spans="8:13" s="8" customFormat="1" x14ac:dyDescent="0.3">
      <c r="H121" s="8" t="s">
        <v>144</v>
      </c>
      <c r="I121" s="21"/>
      <c r="J121" s="13"/>
      <c r="K121" s="8">
        <v>105</v>
      </c>
      <c r="L121" s="26">
        <f>Table134567810111213141516171819202122232425[[#This Row],[الدولار]]+(Table134567810111213141516171819202122232425[[#This Row],[اللبناني]]/90)</f>
        <v>105</v>
      </c>
      <c r="M121" s="6"/>
    </row>
    <row r="122" spans="8:13" s="8" customFormat="1" x14ac:dyDescent="0.3">
      <c r="H122" s="8" t="s">
        <v>144</v>
      </c>
      <c r="I122" s="21" t="s">
        <v>62</v>
      </c>
      <c r="J122" s="13"/>
      <c r="K122" s="8">
        <v>235</v>
      </c>
      <c r="L122" s="26">
        <f>Table134567810111213141516171819202122232425[[#This Row],[الدولار]]+(Table134567810111213141516171819202122232425[[#This Row],[اللبناني]]/90)</f>
        <v>235</v>
      </c>
      <c r="M122" s="6"/>
    </row>
    <row r="123" spans="8:13" s="8" customFormat="1" x14ac:dyDescent="0.3">
      <c r="H123" s="8" t="s">
        <v>146</v>
      </c>
      <c r="I123" s="21" t="s">
        <v>135</v>
      </c>
      <c r="J123" s="13"/>
      <c r="K123" s="8">
        <v>-5100</v>
      </c>
      <c r="L123" s="26">
        <f>Table134567810111213141516171819202122232425[[#This Row],[الدولار]]+(Table134567810111213141516171819202122232425[[#This Row],[اللبناني]]/90)</f>
        <v>-5100</v>
      </c>
      <c r="M123" s="6"/>
    </row>
    <row r="124" spans="8:13" s="8" customFormat="1" x14ac:dyDescent="0.3">
      <c r="H124" s="8" t="s">
        <v>146</v>
      </c>
      <c r="I124" s="21" t="s">
        <v>135</v>
      </c>
      <c r="J124" s="13">
        <v>-5000</v>
      </c>
      <c r="L124" s="26">
        <f>Table134567810111213141516171819202122232425[[#This Row],[الدولار]]+(Table134567810111213141516171819202122232425[[#This Row],[اللبناني]]/90)</f>
        <v>-55.555555555555557</v>
      </c>
      <c r="M124" s="6"/>
    </row>
    <row r="125" spans="8:13" s="8" customFormat="1" x14ac:dyDescent="0.3">
      <c r="H125" s="8" t="s">
        <v>144</v>
      </c>
      <c r="I125" s="21" t="s">
        <v>62</v>
      </c>
      <c r="J125" s="13">
        <v>-25</v>
      </c>
      <c r="L125" s="26">
        <f>Table134567810111213141516171819202122232425[[#This Row],[الدولار]]+(Table134567810111213141516171819202122232425[[#This Row],[اللبناني]]/90)</f>
        <v>-0.27777777777777779</v>
      </c>
      <c r="M125" s="6"/>
    </row>
    <row r="126" spans="8:13" s="8" customFormat="1" x14ac:dyDescent="0.3">
      <c r="I126" s="21"/>
      <c r="J126" s="13"/>
      <c r="L126" s="26">
        <f>Table134567810111213141516171819202122232425[[#This Row],[الدولار]]+(Table134567810111213141516171819202122232425[[#This Row],[اللبناني]]/90)</f>
        <v>0</v>
      </c>
      <c r="M126" s="6"/>
    </row>
    <row r="127" spans="8:13" s="8" customFormat="1" x14ac:dyDescent="0.3">
      <c r="I127" s="21"/>
      <c r="J127" s="13"/>
      <c r="L127" s="26">
        <f>Table134567810111213141516171819202122232425[[#This Row],[الدولار]]+(Table134567810111213141516171819202122232425[[#This Row],[اللبناني]]/90)</f>
        <v>0</v>
      </c>
      <c r="M127" s="6"/>
    </row>
    <row r="128" spans="8:13" s="8" customFormat="1" x14ac:dyDescent="0.3">
      <c r="I128" s="21"/>
      <c r="J128" s="13"/>
      <c r="L128" s="26">
        <f>Table134567810111213141516171819202122232425[[#This Row],[الدولار]]+(Table134567810111213141516171819202122232425[[#This Row],[اللبناني]]/90)</f>
        <v>0</v>
      </c>
      <c r="M128" s="6"/>
    </row>
    <row r="129" spans="9:13" s="8" customFormat="1" x14ac:dyDescent="0.3">
      <c r="I129" s="21"/>
      <c r="J129" s="13"/>
      <c r="L129" s="26">
        <f>Table134567810111213141516171819202122232425[[#This Row],[الدولار]]+(Table134567810111213141516171819202122232425[[#This Row],[اللبناني]]/90)</f>
        <v>0</v>
      </c>
      <c r="M129" s="6"/>
    </row>
    <row r="130" spans="9:13" s="8" customFormat="1" x14ac:dyDescent="0.3">
      <c r="I130" s="21"/>
      <c r="J130" s="13"/>
      <c r="L130" s="26">
        <f>Table134567810111213141516171819202122232425[[#This Row],[الدولار]]+(Table134567810111213141516171819202122232425[[#This Row],[اللبناني]]/90)</f>
        <v>0</v>
      </c>
      <c r="M130" s="6"/>
    </row>
    <row r="131" spans="9:13" s="8" customFormat="1" x14ac:dyDescent="0.3">
      <c r="I131" s="21"/>
      <c r="J131" s="13"/>
      <c r="L131" s="26">
        <f>Table134567810111213141516171819202122232425[[#This Row],[الدولار]]+(Table134567810111213141516171819202122232425[[#This Row],[اللبناني]]/90)</f>
        <v>0</v>
      </c>
      <c r="M131" s="6"/>
    </row>
    <row r="132" spans="9:13" s="8" customFormat="1" x14ac:dyDescent="0.3">
      <c r="I132" s="21"/>
      <c r="J132" s="13"/>
      <c r="L132" s="26">
        <f>Table134567810111213141516171819202122232425[[#This Row],[الدولار]]+(Table134567810111213141516171819202122232425[[#This Row],[اللبناني]]/90)</f>
        <v>0</v>
      </c>
      <c r="M132" s="6"/>
    </row>
    <row r="133" spans="9:13" s="8" customFormat="1" x14ac:dyDescent="0.3">
      <c r="I133" s="21"/>
      <c r="J133" s="13"/>
      <c r="L133" s="26">
        <f>Table134567810111213141516171819202122232425[[#This Row],[الدولار]]+(Table134567810111213141516171819202122232425[[#This Row],[اللبناني]]/90)</f>
        <v>0</v>
      </c>
      <c r="M133" s="6"/>
    </row>
    <row r="134" spans="9:13" s="8" customFormat="1" x14ac:dyDescent="0.3">
      <c r="I134" s="21"/>
      <c r="J134" s="13"/>
      <c r="L134" s="26">
        <f>Table134567810111213141516171819202122232425[[#This Row],[الدولار]]+(Table134567810111213141516171819202122232425[[#This Row],[اللبناني]]/90)</f>
        <v>0</v>
      </c>
      <c r="M134" s="6"/>
    </row>
    <row r="135" spans="9:13" s="8" customFormat="1" x14ac:dyDescent="0.3">
      <c r="I135" s="21"/>
      <c r="J135" s="13"/>
      <c r="L135" s="26">
        <f>Table134567810111213141516171819202122232425[[#This Row],[الدولار]]+(Table134567810111213141516171819202122232425[[#This Row],[اللبناني]]/90)</f>
        <v>0</v>
      </c>
      <c r="M135" s="6"/>
    </row>
    <row r="136" spans="9:13" s="8" customFormat="1" x14ac:dyDescent="0.3">
      <c r="I136" s="21"/>
      <c r="J136" s="13"/>
      <c r="L136" s="26">
        <f>Table134567810111213141516171819202122232425[[#This Row],[الدولار]]+(Table134567810111213141516171819202122232425[[#This Row],[اللبناني]]/90)</f>
        <v>0</v>
      </c>
      <c r="M136" s="6"/>
    </row>
    <row r="137" spans="9:13" s="8" customFormat="1" x14ac:dyDescent="0.3">
      <c r="I137" s="21"/>
      <c r="J137" s="13"/>
      <c r="L137" s="26">
        <f>Table134567810111213141516171819202122232425[[#This Row],[الدولار]]+(Table134567810111213141516171819202122232425[[#This Row],[اللبناني]]/90)</f>
        <v>0</v>
      </c>
      <c r="M137" s="6"/>
    </row>
    <row r="138" spans="9:13" s="8" customFormat="1" x14ac:dyDescent="0.3">
      <c r="I138" s="21"/>
      <c r="J138" s="13"/>
      <c r="L138" s="26">
        <f>Table134567810111213141516171819202122232425[[#This Row],[الدولار]]+(Table134567810111213141516171819202122232425[[#This Row],[اللبناني]]/90)</f>
        <v>0</v>
      </c>
      <c r="M138" s="6"/>
    </row>
    <row r="139" spans="9:13" s="8" customFormat="1" x14ac:dyDescent="0.3">
      <c r="I139" s="21"/>
      <c r="J139" s="13"/>
      <c r="L139" s="26">
        <f>Table134567810111213141516171819202122232425[[#This Row],[الدولار]]+(Table134567810111213141516171819202122232425[[#This Row],[اللبناني]]/90)</f>
        <v>0</v>
      </c>
      <c r="M139" s="6"/>
    </row>
    <row r="140" spans="9:13" s="8" customFormat="1" x14ac:dyDescent="0.3">
      <c r="I140" s="21"/>
      <c r="J140" s="13"/>
      <c r="L140" s="26">
        <f>Table134567810111213141516171819202122232425[[#This Row],[الدولار]]+(Table134567810111213141516171819202122232425[[#This Row],[اللبناني]]/90)</f>
        <v>0</v>
      </c>
      <c r="M140" s="6"/>
    </row>
    <row r="141" spans="9:13" s="8" customFormat="1" x14ac:dyDescent="0.3">
      <c r="I141" s="21"/>
      <c r="J141" s="13"/>
      <c r="L141" s="26">
        <f>Table134567810111213141516171819202122232425[[#This Row],[الدولار]]+(Table134567810111213141516171819202122232425[[#This Row],[اللبناني]]/90)</f>
        <v>0</v>
      </c>
      <c r="M141" s="6"/>
    </row>
    <row r="142" spans="9:13" s="8" customFormat="1" x14ac:dyDescent="0.3">
      <c r="I142" s="21"/>
      <c r="J142" s="13"/>
      <c r="L142" s="26">
        <f>Table134567810111213141516171819202122232425[[#This Row],[الدولار]]+(Table134567810111213141516171819202122232425[[#This Row],[اللبناني]]/90)</f>
        <v>0</v>
      </c>
      <c r="M142" s="6"/>
    </row>
    <row r="143" spans="9:13" s="8" customFormat="1" x14ac:dyDescent="0.3">
      <c r="I143" s="21"/>
      <c r="J143" s="13"/>
      <c r="L143" s="26">
        <f>Table134567810111213141516171819202122232425[[#This Row],[الدولار]]+(Table134567810111213141516171819202122232425[[#This Row],[اللبناني]]/90)</f>
        <v>0</v>
      </c>
      <c r="M143" s="6"/>
    </row>
    <row r="144" spans="9:13" s="8" customFormat="1" x14ac:dyDescent="0.3">
      <c r="I144" s="21"/>
      <c r="J144" s="13"/>
      <c r="L144" s="26">
        <f>Table134567810111213141516171819202122232425[[#This Row],[الدولار]]+(Table134567810111213141516171819202122232425[[#This Row],[اللبناني]]/90)</f>
        <v>0</v>
      </c>
      <c r="M144" s="6"/>
    </row>
    <row r="145" spans="9:13" s="8" customFormat="1" x14ac:dyDescent="0.3">
      <c r="I145" s="21"/>
      <c r="J145" s="13"/>
      <c r="L145" s="26">
        <f>Table134567810111213141516171819202122232425[[#This Row],[الدولار]]+(Table134567810111213141516171819202122232425[[#This Row],[اللبناني]]/90)</f>
        <v>0</v>
      </c>
      <c r="M145" s="6"/>
    </row>
    <row r="146" spans="9:13" s="8" customFormat="1" x14ac:dyDescent="0.3">
      <c r="I146" s="21"/>
      <c r="J146" s="13"/>
      <c r="L146" s="26">
        <f>Table134567810111213141516171819202122232425[[#This Row],[الدولار]]+(Table134567810111213141516171819202122232425[[#This Row],[اللبناني]]/90)</f>
        <v>0</v>
      </c>
      <c r="M146" s="6"/>
    </row>
    <row r="147" spans="9:13" s="8" customFormat="1" x14ac:dyDescent="0.3">
      <c r="I147" s="21"/>
      <c r="J147" s="13"/>
      <c r="L147" s="26">
        <f>Table134567810111213141516171819202122232425[[#This Row],[الدولار]]+(Table134567810111213141516171819202122232425[[#This Row],[اللبناني]]/90)</f>
        <v>0</v>
      </c>
      <c r="M147" s="6"/>
    </row>
    <row r="148" spans="9:13" s="8" customFormat="1" x14ac:dyDescent="0.3">
      <c r="I148" s="21"/>
      <c r="J148" s="13"/>
      <c r="L148" s="26">
        <f>Table134567810111213141516171819202122232425[[#This Row],[الدولار]]+(Table134567810111213141516171819202122232425[[#This Row],[اللبناني]]/90)</f>
        <v>0</v>
      </c>
      <c r="M148" s="6"/>
    </row>
    <row r="149" spans="9:13" s="8" customFormat="1" x14ac:dyDescent="0.3">
      <c r="I149" s="21"/>
      <c r="J149" s="13"/>
      <c r="L149" s="26">
        <f>Table134567810111213141516171819202122232425[[#This Row],[الدولار]]+(Table134567810111213141516171819202122232425[[#This Row],[اللبناني]]/90)</f>
        <v>0</v>
      </c>
      <c r="M149" s="6"/>
    </row>
    <row r="150" spans="9:13" s="8" customFormat="1" x14ac:dyDescent="0.3">
      <c r="I150" s="21"/>
      <c r="J150" s="13"/>
      <c r="L150" s="26">
        <f>Table134567810111213141516171819202122232425[[#This Row],[الدولار]]+(Table134567810111213141516171819202122232425[[#This Row],[اللبناني]]/90)</f>
        <v>0</v>
      </c>
      <c r="M150" s="6"/>
    </row>
    <row r="151" spans="9:13" s="8" customFormat="1" x14ac:dyDescent="0.3">
      <c r="I151" s="21"/>
      <c r="J151" s="13"/>
      <c r="L151" s="26">
        <f>Table134567810111213141516171819202122232425[[#This Row],[الدولار]]+(Table134567810111213141516171819202122232425[[#This Row],[اللبناني]]/90)</f>
        <v>0</v>
      </c>
      <c r="M151" s="6"/>
    </row>
    <row r="152" spans="9:13" s="8" customFormat="1" x14ac:dyDescent="0.3">
      <c r="I152" s="21"/>
      <c r="J152" s="13"/>
      <c r="L152" s="26">
        <f>Table134567810111213141516171819202122232425[[#This Row],[الدولار]]+(Table134567810111213141516171819202122232425[[#This Row],[اللبناني]]/90)</f>
        <v>0</v>
      </c>
      <c r="M152" s="6"/>
    </row>
    <row r="153" spans="9:13" s="8" customFormat="1" x14ac:dyDescent="0.3">
      <c r="I153" s="21"/>
      <c r="J153" s="13"/>
      <c r="L153" s="26">
        <f>Table134567810111213141516171819202122232425[[#This Row],[الدولار]]+(Table134567810111213141516171819202122232425[[#This Row],[اللبناني]]/90)</f>
        <v>0</v>
      </c>
      <c r="M153" s="6"/>
    </row>
    <row r="154" spans="9:13" s="8" customFormat="1" x14ac:dyDescent="0.3">
      <c r="I154" s="21"/>
      <c r="J154" s="13"/>
      <c r="L154" s="26">
        <f>Table134567810111213141516171819202122232425[[#This Row],[الدولار]]+(Table134567810111213141516171819202122232425[[#This Row],[اللبناني]]/90)</f>
        <v>0</v>
      </c>
      <c r="M154" s="6"/>
    </row>
    <row r="155" spans="9:13" s="8" customFormat="1" x14ac:dyDescent="0.3">
      <c r="I155" s="21"/>
      <c r="J155" s="13"/>
      <c r="L155" s="26">
        <f>Table134567810111213141516171819202122232425[[#This Row],[الدولار]]+(Table134567810111213141516171819202122232425[[#This Row],[اللبناني]]/90)</f>
        <v>0</v>
      </c>
      <c r="M155" s="6"/>
    </row>
    <row r="156" spans="9:13" s="8" customFormat="1" x14ac:dyDescent="0.3">
      <c r="I156" s="21"/>
      <c r="J156" s="13"/>
      <c r="L156" s="26">
        <f>Table134567810111213141516171819202122232425[[#This Row],[الدولار]]+(Table134567810111213141516171819202122232425[[#This Row],[اللبناني]]/90)</f>
        <v>0</v>
      </c>
      <c r="M156" s="6"/>
    </row>
    <row r="157" spans="9:13" s="8" customFormat="1" x14ac:dyDescent="0.3">
      <c r="I157" s="21"/>
      <c r="J157" s="13"/>
      <c r="L157" s="26">
        <f>Table134567810111213141516171819202122232425[[#This Row],[الدولار]]+(Table134567810111213141516171819202122232425[[#This Row],[اللبناني]]/90)</f>
        <v>0</v>
      </c>
      <c r="M157" s="6"/>
    </row>
    <row r="158" spans="9:13" s="8" customFormat="1" x14ac:dyDescent="0.3">
      <c r="I158" s="21"/>
      <c r="J158" s="13"/>
      <c r="L158" s="26">
        <f>Table134567810111213141516171819202122232425[[#This Row],[الدولار]]+(Table134567810111213141516171819202122232425[[#This Row],[اللبناني]]/90)</f>
        <v>0</v>
      </c>
      <c r="M158" s="6"/>
    </row>
    <row r="159" spans="9:13" s="8" customFormat="1" x14ac:dyDescent="0.3">
      <c r="I159" s="21"/>
      <c r="J159" s="13"/>
      <c r="L159" s="26">
        <f>Table134567810111213141516171819202122232425[[#This Row],[الدولار]]+(Table134567810111213141516171819202122232425[[#This Row],[اللبناني]]/90)</f>
        <v>0</v>
      </c>
      <c r="M159" s="6"/>
    </row>
    <row r="160" spans="9:13" s="8" customFormat="1" x14ac:dyDescent="0.3">
      <c r="I160" s="21"/>
      <c r="J160" s="13"/>
      <c r="L160" s="26">
        <f>Table134567810111213141516171819202122232425[[#This Row],[الدولار]]+(Table134567810111213141516171819202122232425[[#This Row],[اللبناني]]/90)</f>
        <v>0</v>
      </c>
      <c r="M160" s="6"/>
    </row>
    <row r="161" spans="9:13" s="8" customFormat="1" x14ac:dyDescent="0.3">
      <c r="I161" s="21"/>
      <c r="J161" s="13"/>
      <c r="L161" s="26">
        <f>Table134567810111213141516171819202122232425[[#This Row],[الدولار]]+(Table134567810111213141516171819202122232425[[#This Row],[اللبناني]]/90)</f>
        <v>0</v>
      </c>
      <c r="M161" s="6"/>
    </row>
    <row r="162" spans="9:13" s="8" customFormat="1" x14ac:dyDescent="0.3">
      <c r="I162" s="21"/>
      <c r="J162" s="13"/>
      <c r="L162" s="26">
        <f>Table134567810111213141516171819202122232425[[#This Row],[الدولار]]+(Table134567810111213141516171819202122232425[[#This Row],[اللبناني]]/90)</f>
        <v>0</v>
      </c>
      <c r="M162" s="6"/>
    </row>
    <row r="163" spans="9:13" s="8" customFormat="1" x14ac:dyDescent="0.3">
      <c r="I163" s="21"/>
      <c r="J163" s="13"/>
      <c r="L163" s="26">
        <f>Table134567810111213141516171819202122232425[[#This Row],[الدولار]]+(Table134567810111213141516171819202122232425[[#This Row],[اللبناني]]/90)</f>
        <v>0</v>
      </c>
      <c r="M163" s="6"/>
    </row>
    <row r="164" spans="9:13" s="8" customFormat="1" x14ac:dyDescent="0.3">
      <c r="I164" s="21"/>
      <c r="J164" s="13"/>
      <c r="L164" s="26">
        <f>Table134567810111213141516171819202122232425[[#This Row],[الدولار]]+(Table134567810111213141516171819202122232425[[#This Row],[اللبناني]]/90)</f>
        <v>0</v>
      </c>
      <c r="M164" s="6"/>
    </row>
    <row r="165" spans="9:13" s="8" customFormat="1" x14ac:dyDescent="0.3">
      <c r="I165" s="21"/>
      <c r="J165" s="13"/>
      <c r="L165" s="26">
        <f>Table134567810111213141516171819202122232425[[#This Row],[الدولار]]+(Table134567810111213141516171819202122232425[[#This Row],[اللبناني]]/90)</f>
        <v>0</v>
      </c>
      <c r="M165" s="6"/>
    </row>
    <row r="166" spans="9:13" s="8" customFormat="1" x14ac:dyDescent="0.3">
      <c r="I166" s="21"/>
      <c r="J166" s="13"/>
      <c r="L166" s="26">
        <f>Table134567810111213141516171819202122232425[[#This Row],[الدولار]]+(Table134567810111213141516171819202122232425[[#This Row],[اللبناني]]/90)</f>
        <v>0</v>
      </c>
      <c r="M166" s="6"/>
    </row>
    <row r="167" spans="9:13" s="8" customFormat="1" x14ac:dyDescent="0.3">
      <c r="I167" s="21"/>
      <c r="J167" s="13"/>
      <c r="L167" s="26">
        <f>Table134567810111213141516171819202122232425[[#This Row],[الدولار]]+(Table134567810111213141516171819202122232425[[#This Row],[اللبناني]]/90)</f>
        <v>0</v>
      </c>
      <c r="M167" s="6"/>
    </row>
    <row r="168" spans="9:13" s="8" customFormat="1" x14ac:dyDescent="0.3">
      <c r="I168" s="21"/>
      <c r="J168" s="13"/>
      <c r="L168" s="26">
        <f>Table134567810111213141516171819202122232425[[#This Row],[الدولار]]+(Table134567810111213141516171819202122232425[[#This Row],[اللبناني]]/90)</f>
        <v>0</v>
      </c>
      <c r="M168" s="6"/>
    </row>
    <row r="169" spans="9:13" s="8" customFormat="1" x14ac:dyDescent="0.3">
      <c r="I169" s="21"/>
      <c r="J169" s="13"/>
      <c r="L169" s="26">
        <f>Table134567810111213141516171819202122232425[[#This Row],[الدولار]]+(Table134567810111213141516171819202122232425[[#This Row],[اللبناني]]/90)</f>
        <v>0</v>
      </c>
      <c r="M169" s="6"/>
    </row>
    <row r="170" spans="9:13" s="8" customFormat="1" x14ac:dyDescent="0.3">
      <c r="I170" s="21"/>
      <c r="J170" s="13"/>
      <c r="L170" s="26">
        <f>Table134567810111213141516171819202122232425[[#This Row],[الدولار]]+(Table134567810111213141516171819202122232425[[#This Row],[اللبناني]]/90)</f>
        <v>0</v>
      </c>
      <c r="M170" s="6"/>
    </row>
    <row r="171" spans="9:13" s="8" customFormat="1" x14ac:dyDescent="0.3">
      <c r="I171" s="21"/>
      <c r="J171" s="13"/>
      <c r="L171" s="26">
        <f>Table134567810111213141516171819202122232425[[#This Row],[الدولار]]+(Table134567810111213141516171819202122232425[[#This Row],[اللبناني]]/90)</f>
        <v>0</v>
      </c>
      <c r="M171" s="6"/>
    </row>
    <row r="172" spans="9:13" s="8" customFormat="1" x14ac:dyDescent="0.3">
      <c r="I172" s="21"/>
      <c r="J172" s="13"/>
      <c r="L172" s="26">
        <f>Table134567810111213141516171819202122232425[[#This Row],[الدولار]]+(Table134567810111213141516171819202122232425[[#This Row],[اللبناني]]/90)</f>
        <v>0</v>
      </c>
      <c r="M172" s="6"/>
    </row>
    <row r="173" spans="9:13" s="8" customFormat="1" x14ac:dyDescent="0.3">
      <c r="I173" s="21"/>
      <c r="J173" s="13"/>
      <c r="L173" s="26">
        <f>Table134567810111213141516171819202122232425[[#This Row],[الدولار]]+(Table134567810111213141516171819202122232425[[#This Row],[اللبناني]]/90)</f>
        <v>0</v>
      </c>
      <c r="M173" s="6"/>
    </row>
    <row r="174" spans="9:13" s="8" customFormat="1" x14ac:dyDescent="0.3">
      <c r="I174" s="21"/>
      <c r="J174" s="13"/>
      <c r="L174" s="26">
        <f>Table134567810111213141516171819202122232425[[#This Row],[الدولار]]+(Table134567810111213141516171819202122232425[[#This Row],[اللبناني]]/90)</f>
        <v>0</v>
      </c>
      <c r="M174" s="6"/>
    </row>
    <row r="175" spans="9:13" s="8" customFormat="1" x14ac:dyDescent="0.3">
      <c r="I175" s="21"/>
      <c r="J175" s="13"/>
      <c r="L175" s="26">
        <f>Table134567810111213141516171819202122232425[[#This Row],[الدولار]]+(Table134567810111213141516171819202122232425[[#This Row],[اللبناني]]/90)</f>
        <v>0</v>
      </c>
      <c r="M175" s="6"/>
    </row>
    <row r="176" spans="9:13" s="8" customFormat="1" x14ac:dyDescent="0.3">
      <c r="I176" s="21"/>
      <c r="J176" s="13"/>
      <c r="L176" s="26">
        <f>Table134567810111213141516171819202122232425[[#This Row],[الدولار]]+(Table134567810111213141516171819202122232425[[#This Row],[اللبناني]]/90)</f>
        <v>0</v>
      </c>
      <c r="M176" s="6"/>
    </row>
    <row r="177" spans="9:13" s="8" customFormat="1" x14ac:dyDescent="0.3">
      <c r="I177" s="21"/>
      <c r="J177" s="13"/>
      <c r="L177" s="26">
        <f>Table134567810111213141516171819202122232425[[#This Row],[الدولار]]+(Table134567810111213141516171819202122232425[[#This Row],[اللبناني]]/90)</f>
        <v>0</v>
      </c>
      <c r="M177" s="6"/>
    </row>
    <row r="178" spans="9:13" s="8" customFormat="1" x14ac:dyDescent="0.3">
      <c r="I178" s="21"/>
      <c r="J178" s="13"/>
      <c r="L178" s="26">
        <f>Table134567810111213141516171819202122232425[[#This Row],[الدولار]]+(Table134567810111213141516171819202122232425[[#This Row],[اللبناني]]/90)</f>
        <v>0</v>
      </c>
      <c r="M178" s="6"/>
    </row>
    <row r="179" spans="9:13" s="8" customFormat="1" x14ac:dyDescent="0.3">
      <c r="I179" s="21"/>
      <c r="J179" s="13"/>
      <c r="L179" s="26">
        <f>Table134567810111213141516171819202122232425[[#This Row],[الدولار]]+(Table134567810111213141516171819202122232425[[#This Row],[اللبناني]]/90)</f>
        <v>0</v>
      </c>
      <c r="M179" s="6"/>
    </row>
    <row r="180" spans="9:13" s="8" customFormat="1" x14ac:dyDescent="0.3">
      <c r="I180" s="21"/>
      <c r="J180" s="13"/>
      <c r="L180" s="26">
        <f>Table134567810111213141516171819202122232425[[#This Row],[الدولار]]+(Table134567810111213141516171819202122232425[[#This Row],[اللبناني]]/90)</f>
        <v>0</v>
      </c>
      <c r="M180" s="6"/>
    </row>
    <row r="181" spans="9:13" s="8" customFormat="1" x14ac:dyDescent="0.3">
      <c r="I181" s="21"/>
      <c r="J181" s="13"/>
      <c r="L181" s="26">
        <f>Table134567810111213141516171819202122232425[[#This Row],[الدولار]]+(Table134567810111213141516171819202122232425[[#This Row],[اللبناني]]/90)</f>
        <v>0</v>
      </c>
      <c r="M181" s="6"/>
    </row>
    <row r="182" spans="9:13" s="8" customFormat="1" x14ac:dyDescent="0.3">
      <c r="I182" s="21"/>
      <c r="J182" s="13"/>
      <c r="L182" s="26">
        <f>Table134567810111213141516171819202122232425[[#This Row],[الدولار]]+(Table134567810111213141516171819202122232425[[#This Row],[اللبناني]]/90)</f>
        <v>0</v>
      </c>
      <c r="M182" s="6"/>
    </row>
    <row r="183" spans="9:13" s="8" customFormat="1" x14ac:dyDescent="0.3">
      <c r="I183" s="21"/>
      <c r="J183" s="13"/>
      <c r="L183" s="26">
        <f>Table134567810111213141516171819202122232425[[#This Row],[الدولار]]+(Table134567810111213141516171819202122232425[[#This Row],[اللبناني]]/90)</f>
        <v>0</v>
      </c>
      <c r="M183" s="6"/>
    </row>
    <row r="184" spans="9:13" s="8" customFormat="1" x14ac:dyDescent="0.3">
      <c r="I184" s="21"/>
      <c r="J184" s="13"/>
      <c r="L184" s="26">
        <f>Table134567810111213141516171819202122232425[[#This Row],[الدولار]]+(Table134567810111213141516171819202122232425[[#This Row],[اللبناني]]/90)</f>
        <v>0</v>
      </c>
      <c r="M184" s="6"/>
    </row>
    <row r="185" spans="9:13" s="8" customFormat="1" x14ac:dyDescent="0.3">
      <c r="I185" s="21"/>
      <c r="J185" s="13"/>
      <c r="L185" s="26">
        <f>Table134567810111213141516171819202122232425[[#This Row],[الدولار]]+(Table134567810111213141516171819202122232425[[#This Row],[اللبناني]]/90)</f>
        <v>0</v>
      </c>
      <c r="M185" s="6"/>
    </row>
    <row r="186" spans="9:13" s="8" customFormat="1" x14ac:dyDescent="0.3">
      <c r="I186" s="21"/>
      <c r="J186" s="13"/>
      <c r="L186" s="26">
        <f>Table134567810111213141516171819202122232425[[#This Row],[الدولار]]+(Table134567810111213141516171819202122232425[[#This Row],[اللبناني]]/90)</f>
        <v>0</v>
      </c>
      <c r="M186" s="6"/>
    </row>
    <row r="187" spans="9:13" s="8" customFormat="1" x14ac:dyDescent="0.3">
      <c r="I187" s="21"/>
      <c r="J187" s="13"/>
      <c r="L187" s="26">
        <f>Table134567810111213141516171819202122232425[[#This Row],[الدولار]]+(Table134567810111213141516171819202122232425[[#This Row],[اللبناني]]/90)</f>
        <v>0</v>
      </c>
      <c r="M187" s="6"/>
    </row>
    <row r="188" spans="9:13" s="8" customFormat="1" x14ac:dyDescent="0.3">
      <c r="I188" s="21"/>
      <c r="J188" s="13"/>
      <c r="L188" s="26">
        <f>Table134567810111213141516171819202122232425[[#This Row],[الدولار]]+(Table134567810111213141516171819202122232425[[#This Row],[اللبناني]]/90)</f>
        <v>0</v>
      </c>
      <c r="M188" s="6"/>
    </row>
    <row r="189" spans="9:13" s="8" customFormat="1" x14ac:dyDescent="0.3">
      <c r="I189" s="21"/>
      <c r="J189" s="13"/>
      <c r="L189" s="26">
        <f>Table134567810111213141516171819202122232425[[#This Row],[الدولار]]+(Table134567810111213141516171819202122232425[[#This Row],[اللبناني]]/90)</f>
        <v>0</v>
      </c>
      <c r="M189" s="6"/>
    </row>
    <row r="190" spans="9:13" s="8" customFormat="1" x14ac:dyDescent="0.3">
      <c r="I190" s="21"/>
      <c r="J190" s="13"/>
      <c r="L190" s="26">
        <f>Table134567810111213141516171819202122232425[[#This Row],[الدولار]]+(Table134567810111213141516171819202122232425[[#This Row],[اللبناني]]/90)</f>
        <v>0</v>
      </c>
      <c r="M190" s="6"/>
    </row>
    <row r="191" spans="9:13" s="8" customFormat="1" x14ac:dyDescent="0.3">
      <c r="I191" s="21"/>
      <c r="J191" s="13"/>
      <c r="L191" s="26">
        <f>Table134567810111213141516171819202122232425[[#This Row],[الدولار]]+(Table134567810111213141516171819202122232425[[#This Row],[اللبناني]]/90)</f>
        <v>0</v>
      </c>
      <c r="M191" s="6"/>
    </row>
    <row r="192" spans="9:13" s="8" customFormat="1" x14ac:dyDescent="0.3">
      <c r="I192" s="21"/>
      <c r="J192" s="13"/>
      <c r="L192" s="26">
        <f>Table134567810111213141516171819202122232425[[#This Row],[الدولار]]+(Table134567810111213141516171819202122232425[[#This Row],[اللبناني]]/90)</f>
        <v>0</v>
      </c>
      <c r="M192" s="6"/>
    </row>
    <row r="193" spans="9:13" s="8" customFormat="1" x14ac:dyDescent="0.3">
      <c r="I193" s="21"/>
      <c r="J193" s="13"/>
      <c r="L193" s="26">
        <f>Table134567810111213141516171819202122232425[[#This Row],[الدولار]]+(Table134567810111213141516171819202122232425[[#This Row],[اللبناني]]/90)</f>
        <v>0</v>
      </c>
      <c r="M193" s="6"/>
    </row>
    <row r="194" spans="9:13" s="8" customFormat="1" x14ac:dyDescent="0.3">
      <c r="I194" s="21"/>
      <c r="J194" s="13"/>
      <c r="L194" s="26">
        <f>Table134567810111213141516171819202122232425[[#This Row],[الدولار]]+(Table134567810111213141516171819202122232425[[#This Row],[اللبناني]]/90)</f>
        <v>0</v>
      </c>
      <c r="M194" s="6"/>
    </row>
    <row r="195" spans="9:13" s="8" customFormat="1" x14ac:dyDescent="0.3">
      <c r="I195" s="21"/>
      <c r="J195" s="13"/>
      <c r="L195" s="26">
        <f>Table134567810111213141516171819202122232425[[#This Row],[الدولار]]+(Table134567810111213141516171819202122232425[[#This Row],[اللبناني]]/90)</f>
        <v>0</v>
      </c>
      <c r="M195" s="6"/>
    </row>
    <row r="196" spans="9:13" s="8" customFormat="1" x14ac:dyDescent="0.3">
      <c r="I196" s="21"/>
      <c r="J196" s="13"/>
      <c r="L196" s="26">
        <f>Table134567810111213141516171819202122232425[[#This Row],[الدولار]]+(Table134567810111213141516171819202122232425[[#This Row],[اللبناني]]/90)</f>
        <v>0</v>
      </c>
      <c r="M196" s="6"/>
    </row>
    <row r="197" spans="9:13" s="8" customFormat="1" x14ac:dyDescent="0.3">
      <c r="I197" s="21"/>
      <c r="J197" s="13"/>
      <c r="L197" s="26">
        <f>Table134567810111213141516171819202122232425[[#This Row],[الدولار]]+(Table134567810111213141516171819202122232425[[#This Row],[اللبناني]]/90)</f>
        <v>0</v>
      </c>
      <c r="M197" s="6"/>
    </row>
    <row r="198" spans="9:13" s="8" customFormat="1" x14ac:dyDescent="0.3">
      <c r="I198" s="21"/>
      <c r="J198" s="13"/>
      <c r="L198" s="26">
        <f>Table134567810111213141516171819202122232425[[#This Row],[الدولار]]+(Table134567810111213141516171819202122232425[[#This Row],[اللبناني]]/90)</f>
        <v>0</v>
      </c>
      <c r="M198" s="6"/>
    </row>
    <row r="199" spans="9:13" s="8" customFormat="1" x14ac:dyDescent="0.3">
      <c r="I199" s="21"/>
      <c r="J199" s="13"/>
      <c r="L199" s="26">
        <f>Table134567810111213141516171819202122232425[[#This Row],[الدولار]]+(Table134567810111213141516171819202122232425[[#This Row],[اللبناني]]/90)</f>
        <v>0</v>
      </c>
      <c r="M199" s="6"/>
    </row>
    <row r="200" spans="9:13" s="8" customFormat="1" x14ac:dyDescent="0.3">
      <c r="I200" s="21"/>
      <c r="J200" s="13"/>
      <c r="L200" s="26">
        <f>Table134567810111213141516171819202122232425[[#This Row],[الدولار]]+(Table134567810111213141516171819202122232425[[#This Row],[اللبناني]]/90)</f>
        <v>0</v>
      </c>
      <c r="M200" s="6"/>
    </row>
    <row r="201" spans="9:13" s="8" customFormat="1" x14ac:dyDescent="0.3">
      <c r="I201" s="21"/>
      <c r="J201" s="13"/>
      <c r="L201" s="26">
        <f>Table134567810111213141516171819202122232425[[#This Row],[الدولار]]+(Table134567810111213141516171819202122232425[[#This Row],[اللبناني]]/90)</f>
        <v>0</v>
      </c>
      <c r="M201" s="6"/>
    </row>
    <row r="202" spans="9:13" s="8" customFormat="1" x14ac:dyDescent="0.3">
      <c r="I202" s="21"/>
      <c r="J202" s="13"/>
      <c r="L202" s="26">
        <f>Table134567810111213141516171819202122232425[[#This Row],[الدولار]]+(Table134567810111213141516171819202122232425[[#This Row],[اللبناني]]/90)</f>
        <v>0</v>
      </c>
      <c r="M202" s="6"/>
    </row>
    <row r="203" spans="9:13" s="8" customFormat="1" x14ac:dyDescent="0.3">
      <c r="I203" s="21"/>
      <c r="J203" s="13"/>
      <c r="L203" s="26">
        <f>Table134567810111213141516171819202122232425[[#This Row],[الدولار]]+(Table134567810111213141516171819202122232425[[#This Row],[اللبناني]]/90)</f>
        <v>0</v>
      </c>
      <c r="M203" s="6"/>
    </row>
    <row r="204" spans="9:13" s="8" customFormat="1" x14ac:dyDescent="0.3">
      <c r="I204" s="21"/>
      <c r="J204" s="13"/>
      <c r="L204" s="26">
        <f>Table134567810111213141516171819202122232425[[#This Row],[الدولار]]+(Table134567810111213141516171819202122232425[[#This Row],[اللبناني]]/90)</f>
        <v>0</v>
      </c>
      <c r="M204" s="6"/>
    </row>
    <row r="205" spans="9:13" s="8" customFormat="1" x14ac:dyDescent="0.3">
      <c r="I205" s="21"/>
      <c r="J205" s="13"/>
      <c r="L205" s="26">
        <f>Table134567810111213141516171819202122232425[[#This Row],[الدولار]]+(Table134567810111213141516171819202122232425[[#This Row],[اللبناني]]/90)</f>
        <v>0</v>
      </c>
      <c r="M205" s="6"/>
    </row>
    <row r="206" spans="9:13" s="8" customFormat="1" x14ac:dyDescent="0.3">
      <c r="I206" s="21"/>
      <c r="J206" s="13"/>
      <c r="L206" s="26">
        <f>Table134567810111213141516171819202122232425[[#This Row],[الدولار]]+(Table134567810111213141516171819202122232425[[#This Row],[اللبناني]]/90)</f>
        <v>0</v>
      </c>
      <c r="M206" s="6"/>
    </row>
    <row r="207" spans="9:13" s="8" customFormat="1" x14ac:dyDescent="0.3">
      <c r="I207" s="21"/>
      <c r="J207" s="13"/>
      <c r="L207" s="26">
        <f>Table134567810111213141516171819202122232425[[#This Row],[الدولار]]+(Table134567810111213141516171819202122232425[[#This Row],[اللبناني]]/90)</f>
        <v>0</v>
      </c>
      <c r="M207" s="6"/>
    </row>
    <row r="208" spans="9:13" s="8" customFormat="1" x14ac:dyDescent="0.3">
      <c r="I208" s="21"/>
      <c r="J208" s="13"/>
      <c r="L208" s="26">
        <f>Table134567810111213141516171819202122232425[[#This Row],[الدولار]]+(Table134567810111213141516171819202122232425[[#This Row],[اللبناني]]/90)</f>
        <v>0</v>
      </c>
      <c r="M208" s="6"/>
    </row>
    <row r="209" spans="9:13" s="8" customFormat="1" x14ac:dyDescent="0.3">
      <c r="I209" s="21"/>
      <c r="J209" s="13"/>
      <c r="L209" s="26">
        <f>Table134567810111213141516171819202122232425[[#This Row],[الدولار]]+(Table134567810111213141516171819202122232425[[#This Row],[اللبناني]]/90)</f>
        <v>0</v>
      </c>
      <c r="M209" s="6"/>
    </row>
    <row r="210" spans="9:13" s="8" customFormat="1" x14ac:dyDescent="0.3">
      <c r="I210" s="21"/>
      <c r="J210" s="13"/>
      <c r="L210" s="26">
        <f>Table134567810111213141516171819202122232425[[#This Row],[الدولار]]+(Table134567810111213141516171819202122232425[[#This Row],[اللبناني]]/90)</f>
        <v>0</v>
      </c>
      <c r="M210" s="6"/>
    </row>
    <row r="211" spans="9:13" s="8" customFormat="1" x14ac:dyDescent="0.3">
      <c r="I211" s="21"/>
      <c r="J211" s="13"/>
      <c r="L211" s="26">
        <f>Table134567810111213141516171819202122232425[[#This Row],[الدولار]]+(Table134567810111213141516171819202122232425[[#This Row],[اللبناني]]/90)</f>
        <v>0</v>
      </c>
      <c r="M211" s="6"/>
    </row>
    <row r="212" spans="9:13" s="8" customFormat="1" x14ac:dyDescent="0.3">
      <c r="I212" s="21"/>
      <c r="J212" s="13"/>
      <c r="L212" s="26">
        <f>Table134567810111213141516171819202122232425[[#This Row],[الدولار]]+(Table134567810111213141516171819202122232425[[#This Row],[اللبناني]]/90)</f>
        <v>0</v>
      </c>
      <c r="M212" s="6"/>
    </row>
    <row r="213" spans="9:13" s="8" customFormat="1" x14ac:dyDescent="0.3">
      <c r="I213" s="21"/>
      <c r="J213" s="13"/>
      <c r="L213" s="26">
        <f>Table134567810111213141516171819202122232425[[#This Row],[الدولار]]+(Table134567810111213141516171819202122232425[[#This Row],[اللبناني]]/90)</f>
        <v>0</v>
      </c>
      <c r="M213" s="6"/>
    </row>
    <row r="214" spans="9:13" s="8" customFormat="1" x14ac:dyDescent="0.3">
      <c r="I214" s="21"/>
      <c r="J214" s="13"/>
      <c r="L214" s="26">
        <f>Table134567810111213141516171819202122232425[[#This Row],[الدولار]]+(Table134567810111213141516171819202122232425[[#This Row],[اللبناني]]/90)</f>
        <v>0</v>
      </c>
      <c r="M214" s="6"/>
    </row>
    <row r="215" spans="9:13" s="8" customFormat="1" x14ac:dyDescent="0.3">
      <c r="I215" s="21"/>
      <c r="J215" s="13"/>
      <c r="L215" s="26">
        <f>Table134567810111213141516171819202122232425[[#This Row],[الدولار]]+(Table134567810111213141516171819202122232425[[#This Row],[اللبناني]]/90)</f>
        <v>0</v>
      </c>
      <c r="M215" s="6"/>
    </row>
    <row r="216" spans="9:13" s="8" customFormat="1" x14ac:dyDescent="0.3">
      <c r="I216" s="21"/>
      <c r="J216" s="13"/>
      <c r="L216" s="26">
        <f>Table134567810111213141516171819202122232425[[#This Row],[الدولار]]+(Table134567810111213141516171819202122232425[[#This Row],[اللبناني]]/90)</f>
        <v>0</v>
      </c>
      <c r="M216" s="6"/>
    </row>
    <row r="217" spans="9:13" s="8" customFormat="1" x14ac:dyDescent="0.3">
      <c r="I217" s="21"/>
      <c r="J217" s="13"/>
      <c r="L217" s="26">
        <f>Table134567810111213141516171819202122232425[[#This Row],[الدولار]]+(Table134567810111213141516171819202122232425[[#This Row],[اللبناني]]/90)</f>
        <v>0</v>
      </c>
      <c r="M217" s="6"/>
    </row>
    <row r="218" spans="9:13" s="8" customFormat="1" x14ac:dyDescent="0.3">
      <c r="I218" s="21"/>
      <c r="J218" s="13"/>
      <c r="L218" s="26">
        <f>Table134567810111213141516171819202122232425[[#This Row],[الدولار]]+(Table134567810111213141516171819202122232425[[#This Row],[اللبناني]]/90)</f>
        <v>0</v>
      </c>
      <c r="M218" s="6"/>
    </row>
    <row r="219" spans="9:13" s="8" customFormat="1" x14ac:dyDescent="0.3">
      <c r="I219" s="21"/>
      <c r="J219" s="13"/>
      <c r="L219" s="26">
        <f>Table134567810111213141516171819202122232425[[#This Row],[الدولار]]+(Table134567810111213141516171819202122232425[[#This Row],[اللبناني]]/90)</f>
        <v>0</v>
      </c>
      <c r="M219" s="6"/>
    </row>
    <row r="220" spans="9:13" s="8" customFormat="1" x14ac:dyDescent="0.3">
      <c r="I220" s="21"/>
      <c r="J220" s="13"/>
      <c r="L220" s="26">
        <f>Table134567810111213141516171819202122232425[[#This Row],[الدولار]]+(Table134567810111213141516171819202122232425[[#This Row],[اللبناني]]/90)</f>
        <v>0</v>
      </c>
      <c r="M220" s="6"/>
    </row>
    <row r="221" spans="9:13" s="8" customFormat="1" x14ac:dyDescent="0.3">
      <c r="I221" s="21"/>
      <c r="J221" s="13"/>
      <c r="L221" s="26">
        <f>Table134567810111213141516171819202122232425[[#This Row],[الدولار]]+(Table134567810111213141516171819202122232425[[#This Row],[اللبناني]]/90)</f>
        <v>0</v>
      </c>
      <c r="M221" s="6"/>
    </row>
    <row r="222" spans="9:13" s="8" customFormat="1" x14ac:dyDescent="0.3">
      <c r="I222" s="21"/>
      <c r="J222" s="13"/>
      <c r="L222" s="26">
        <f>Table134567810111213141516171819202122232425[[#This Row],[الدولار]]+(Table134567810111213141516171819202122232425[[#This Row],[اللبناني]]/90)</f>
        <v>0</v>
      </c>
      <c r="M222" s="6"/>
    </row>
    <row r="223" spans="9:13" s="8" customFormat="1" x14ac:dyDescent="0.3">
      <c r="I223" s="21"/>
      <c r="J223" s="13"/>
      <c r="L223" s="26">
        <f>Table134567810111213141516171819202122232425[[#This Row],[الدولار]]+(Table134567810111213141516171819202122232425[[#This Row],[اللبناني]]/90)</f>
        <v>0</v>
      </c>
      <c r="M223" s="6"/>
    </row>
    <row r="224" spans="9:13" s="8" customFormat="1" x14ac:dyDescent="0.3">
      <c r="I224" s="21"/>
      <c r="J224" s="13"/>
      <c r="L224" s="26">
        <f>Table134567810111213141516171819202122232425[[#This Row],[الدولار]]+(Table134567810111213141516171819202122232425[[#This Row],[اللبناني]]/90)</f>
        <v>0</v>
      </c>
      <c r="M224" s="6"/>
    </row>
    <row r="225" spans="9:13" s="8" customFormat="1" x14ac:dyDescent="0.3">
      <c r="I225" s="21"/>
      <c r="J225" s="13"/>
      <c r="L225" s="26">
        <f>Table134567810111213141516171819202122232425[[#This Row],[الدولار]]+(Table134567810111213141516171819202122232425[[#This Row],[اللبناني]]/90)</f>
        <v>0</v>
      </c>
      <c r="M225" s="6"/>
    </row>
    <row r="226" spans="9:13" s="8" customFormat="1" x14ac:dyDescent="0.3">
      <c r="I226" s="21"/>
      <c r="J226" s="13"/>
      <c r="L226" s="26">
        <f>Table134567810111213141516171819202122232425[[#This Row],[الدولار]]+(Table134567810111213141516171819202122232425[[#This Row],[اللبناني]]/90)</f>
        <v>0</v>
      </c>
      <c r="M226" s="6"/>
    </row>
    <row r="227" spans="9:13" s="8" customFormat="1" x14ac:dyDescent="0.3">
      <c r="I227" s="21"/>
      <c r="J227" s="13"/>
      <c r="L227" s="26">
        <f>Table134567810111213141516171819202122232425[[#This Row],[الدولار]]+(Table134567810111213141516171819202122232425[[#This Row],[اللبناني]]/90)</f>
        <v>0</v>
      </c>
      <c r="M227" s="6"/>
    </row>
    <row r="228" spans="9:13" s="8" customFormat="1" x14ac:dyDescent="0.3">
      <c r="I228" s="21"/>
      <c r="J228" s="13"/>
      <c r="L228" s="26">
        <f>Table134567810111213141516171819202122232425[[#This Row],[الدولار]]+(Table134567810111213141516171819202122232425[[#This Row],[اللبناني]]/90)</f>
        <v>0</v>
      </c>
      <c r="M228" s="6"/>
    </row>
    <row r="229" spans="9:13" s="8" customFormat="1" x14ac:dyDescent="0.3">
      <c r="I229" s="21"/>
      <c r="J229" s="13"/>
      <c r="L229" s="26">
        <f>Table134567810111213141516171819202122232425[[#This Row],[الدولار]]+(Table134567810111213141516171819202122232425[[#This Row],[اللبناني]]/90)</f>
        <v>0</v>
      </c>
      <c r="M229" s="6"/>
    </row>
    <row r="230" spans="9:13" s="8" customFormat="1" x14ac:dyDescent="0.3">
      <c r="I230" s="21"/>
      <c r="J230" s="13"/>
      <c r="L230" s="26">
        <f>Table134567810111213141516171819202122232425[[#This Row],[الدولار]]+(Table134567810111213141516171819202122232425[[#This Row],[اللبناني]]/90)</f>
        <v>0</v>
      </c>
      <c r="M230" s="6"/>
    </row>
    <row r="231" spans="9:13" s="8" customFormat="1" x14ac:dyDescent="0.3">
      <c r="I231" s="21"/>
      <c r="J231" s="13"/>
      <c r="L231" s="26">
        <f>Table134567810111213141516171819202122232425[[#This Row],[الدولار]]+(Table134567810111213141516171819202122232425[[#This Row],[اللبناني]]/90)</f>
        <v>0</v>
      </c>
      <c r="M231" s="6"/>
    </row>
    <row r="232" spans="9:13" s="8" customFormat="1" x14ac:dyDescent="0.3">
      <c r="I232" s="21"/>
      <c r="J232" s="13"/>
      <c r="L232" s="26">
        <f>Table134567810111213141516171819202122232425[[#This Row],[الدولار]]+(Table134567810111213141516171819202122232425[[#This Row],[اللبناني]]/90)</f>
        <v>0</v>
      </c>
      <c r="M232" s="6"/>
    </row>
    <row r="233" spans="9:13" s="8" customFormat="1" x14ac:dyDescent="0.3">
      <c r="I233" s="21"/>
      <c r="J233" s="13"/>
      <c r="L233" s="26">
        <f>Table134567810111213141516171819202122232425[[#This Row],[الدولار]]+(Table134567810111213141516171819202122232425[[#This Row],[اللبناني]]/90)</f>
        <v>0</v>
      </c>
      <c r="M233" s="6"/>
    </row>
    <row r="234" spans="9:13" s="8" customFormat="1" x14ac:dyDescent="0.3">
      <c r="I234" s="21"/>
      <c r="J234" s="13"/>
      <c r="L234" s="26">
        <f>Table134567810111213141516171819202122232425[[#This Row],[الدولار]]+(Table134567810111213141516171819202122232425[[#This Row],[اللبناني]]/90)</f>
        <v>0</v>
      </c>
      <c r="M234" s="6"/>
    </row>
    <row r="235" spans="9:13" s="8" customFormat="1" x14ac:dyDescent="0.3">
      <c r="I235" s="21"/>
      <c r="J235" s="13"/>
      <c r="L235" s="26">
        <f>Table134567810111213141516171819202122232425[[#This Row],[الدولار]]+(Table134567810111213141516171819202122232425[[#This Row],[اللبناني]]/90)</f>
        <v>0</v>
      </c>
      <c r="M235" s="6"/>
    </row>
    <row r="236" spans="9:13" s="8" customFormat="1" x14ac:dyDescent="0.3">
      <c r="I236" s="21"/>
      <c r="J236" s="13"/>
      <c r="L236" s="26">
        <f>Table134567810111213141516171819202122232425[[#This Row],[الدولار]]+(Table134567810111213141516171819202122232425[[#This Row],[اللبناني]]/90)</f>
        <v>0</v>
      </c>
      <c r="M236" s="6"/>
    </row>
    <row r="237" spans="9:13" s="8" customFormat="1" x14ac:dyDescent="0.3">
      <c r="I237" s="21"/>
      <c r="J237" s="13"/>
      <c r="L237" s="26">
        <f>Table134567810111213141516171819202122232425[[#This Row],[الدولار]]+(Table134567810111213141516171819202122232425[[#This Row],[اللبناني]]/90)</f>
        <v>0</v>
      </c>
      <c r="M237" s="6"/>
    </row>
    <row r="238" spans="9:13" s="8" customFormat="1" x14ac:dyDescent="0.3">
      <c r="I238" s="21"/>
      <c r="J238" s="13"/>
      <c r="L238" s="26">
        <f>Table134567810111213141516171819202122232425[[#This Row],[الدولار]]+(Table134567810111213141516171819202122232425[[#This Row],[اللبناني]]/90)</f>
        <v>0</v>
      </c>
      <c r="M238" s="6"/>
    </row>
    <row r="239" spans="9:13" s="8" customFormat="1" x14ac:dyDescent="0.3">
      <c r="I239" s="21"/>
      <c r="J239" s="13"/>
      <c r="L239" s="26">
        <f>Table134567810111213141516171819202122232425[[#This Row],[الدولار]]+(Table134567810111213141516171819202122232425[[#This Row],[اللبناني]]/90)</f>
        <v>0</v>
      </c>
      <c r="M239" s="6"/>
    </row>
    <row r="240" spans="9:13" s="8" customFormat="1" x14ac:dyDescent="0.3">
      <c r="I240" s="21"/>
      <c r="J240" s="13"/>
      <c r="L240" s="26">
        <f>Table134567810111213141516171819202122232425[[#This Row],[الدولار]]+(Table134567810111213141516171819202122232425[[#This Row],[اللبناني]]/90)</f>
        <v>0</v>
      </c>
      <c r="M240" s="6"/>
    </row>
    <row r="241" spans="9:13" s="8" customFormat="1" x14ac:dyDescent="0.3">
      <c r="I241" s="21"/>
      <c r="J241" s="13"/>
      <c r="L241" s="26">
        <f>Table134567810111213141516171819202122232425[[#This Row],[الدولار]]+(Table134567810111213141516171819202122232425[[#This Row],[اللبناني]]/90)</f>
        <v>0</v>
      </c>
      <c r="M241" s="6"/>
    </row>
    <row r="242" spans="9:13" s="8" customFormat="1" x14ac:dyDescent="0.3">
      <c r="I242" s="21"/>
      <c r="J242" s="13"/>
      <c r="L242" s="26">
        <f>Table134567810111213141516171819202122232425[[#This Row],[الدولار]]+(Table134567810111213141516171819202122232425[[#This Row],[اللبناني]]/90)</f>
        <v>0</v>
      </c>
      <c r="M242" s="6"/>
    </row>
    <row r="243" spans="9:13" s="8" customFormat="1" x14ac:dyDescent="0.3">
      <c r="I243" s="21"/>
      <c r="J243" s="13"/>
      <c r="L243" s="26">
        <f>Table134567810111213141516171819202122232425[[#This Row],[الدولار]]+(Table134567810111213141516171819202122232425[[#This Row],[اللبناني]]/90)</f>
        <v>0</v>
      </c>
      <c r="M243" s="6"/>
    </row>
    <row r="244" spans="9:13" s="8" customFormat="1" x14ac:dyDescent="0.3">
      <c r="I244" s="21"/>
      <c r="J244" s="13"/>
      <c r="L244" s="26">
        <f>Table134567810111213141516171819202122232425[[#This Row],[الدولار]]+(Table134567810111213141516171819202122232425[[#This Row],[اللبناني]]/90)</f>
        <v>0</v>
      </c>
      <c r="M244" s="6"/>
    </row>
    <row r="245" spans="9:13" s="8" customFormat="1" x14ac:dyDescent="0.3">
      <c r="I245" s="21"/>
      <c r="J245" s="13"/>
      <c r="L245" s="26">
        <f>Table134567810111213141516171819202122232425[[#This Row],[الدولار]]+(Table134567810111213141516171819202122232425[[#This Row],[اللبناني]]/90)</f>
        <v>0</v>
      </c>
      <c r="M245" s="6"/>
    </row>
    <row r="246" spans="9:13" s="8" customFormat="1" x14ac:dyDescent="0.3">
      <c r="I246" s="21"/>
      <c r="J246" s="13"/>
      <c r="L246" s="26">
        <f>Table134567810111213141516171819202122232425[[#This Row],[الدولار]]+(Table134567810111213141516171819202122232425[[#This Row],[اللبناني]]/90)</f>
        <v>0</v>
      </c>
      <c r="M246" s="6"/>
    </row>
    <row r="247" spans="9:13" s="8" customFormat="1" x14ac:dyDescent="0.3">
      <c r="I247" s="21"/>
      <c r="J247" s="13"/>
      <c r="L247" s="26">
        <f>Table134567810111213141516171819202122232425[[#This Row],[الدولار]]+(Table134567810111213141516171819202122232425[[#This Row],[اللبناني]]/90)</f>
        <v>0</v>
      </c>
      <c r="M247" s="6"/>
    </row>
    <row r="248" spans="9:13" s="8" customFormat="1" x14ac:dyDescent="0.3">
      <c r="I248" s="21"/>
      <c r="J248" s="13"/>
      <c r="L248" s="26">
        <f>Table134567810111213141516171819202122232425[[#This Row],[الدولار]]+(Table134567810111213141516171819202122232425[[#This Row],[اللبناني]]/90)</f>
        <v>0</v>
      </c>
      <c r="M248" s="6"/>
    </row>
    <row r="249" spans="9:13" s="8" customFormat="1" x14ac:dyDescent="0.3">
      <c r="I249" s="21"/>
      <c r="J249" s="13"/>
      <c r="L249" s="26">
        <f>Table134567810111213141516171819202122232425[[#This Row],[الدولار]]+(Table134567810111213141516171819202122232425[[#This Row],[اللبناني]]/90)</f>
        <v>0</v>
      </c>
      <c r="M249" s="6"/>
    </row>
    <row r="250" spans="9:13" s="8" customFormat="1" x14ac:dyDescent="0.3">
      <c r="I250" s="21"/>
      <c r="J250" s="13"/>
      <c r="L250" s="26">
        <f>Table134567810111213141516171819202122232425[[#This Row],[الدولار]]+(Table134567810111213141516171819202122232425[[#This Row],[اللبناني]]/90)</f>
        <v>0</v>
      </c>
      <c r="M250" s="6"/>
    </row>
    <row r="251" spans="9:13" s="8" customFormat="1" x14ac:dyDescent="0.3">
      <c r="I251" s="21"/>
      <c r="J251" s="13"/>
      <c r="L251" s="26">
        <f>Table134567810111213141516171819202122232425[[#This Row],[الدولار]]+(Table134567810111213141516171819202122232425[[#This Row],[اللبناني]]/90)</f>
        <v>0</v>
      </c>
      <c r="M251" s="6"/>
    </row>
    <row r="252" spans="9:13" s="8" customFormat="1" x14ac:dyDescent="0.3">
      <c r="I252" s="21"/>
      <c r="J252" s="13"/>
      <c r="L252" s="26">
        <f>Table134567810111213141516171819202122232425[[#This Row],[الدولار]]+(Table134567810111213141516171819202122232425[[#This Row],[اللبناني]]/90)</f>
        <v>0</v>
      </c>
      <c r="M252" s="6"/>
    </row>
    <row r="253" spans="9:13" s="8" customFormat="1" x14ac:dyDescent="0.3">
      <c r="I253" s="21"/>
      <c r="J253" s="13"/>
      <c r="L253" s="26">
        <f>Table134567810111213141516171819202122232425[[#This Row],[الدولار]]+(Table134567810111213141516171819202122232425[[#This Row],[اللبناني]]/90)</f>
        <v>0</v>
      </c>
      <c r="M253" s="6"/>
    </row>
    <row r="254" spans="9:13" s="8" customFormat="1" x14ac:dyDescent="0.3">
      <c r="I254" s="21"/>
      <c r="J254" s="13"/>
      <c r="L254" s="26">
        <f>Table134567810111213141516171819202122232425[[#This Row],[الدولار]]+(Table134567810111213141516171819202122232425[[#This Row],[اللبناني]]/90)</f>
        <v>0</v>
      </c>
      <c r="M254" s="6"/>
    </row>
    <row r="255" spans="9:13" s="8" customFormat="1" x14ac:dyDescent="0.3">
      <c r="I255" s="21"/>
      <c r="J255" s="13"/>
      <c r="L255" s="26">
        <f>Table134567810111213141516171819202122232425[[#This Row],[الدولار]]+(Table134567810111213141516171819202122232425[[#This Row],[اللبناني]]/90)</f>
        <v>0</v>
      </c>
      <c r="M255" s="6"/>
    </row>
    <row r="256" spans="9:13" s="8" customFormat="1" x14ac:dyDescent="0.3">
      <c r="I256" s="21"/>
      <c r="J256" s="13"/>
      <c r="L256" s="26">
        <f>Table134567810111213141516171819202122232425[[#This Row],[الدولار]]+(Table134567810111213141516171819202122232425[[#This Row],[اللبناني]]/90)</f>
        <v>0</v>
      </c>
      <c r="M256" s="6"/>
    </row>
    <row r="257" spans="9:13" s="8" customFormat="1" x14ac:dyDescent="0.3">
      <c r="I257" s="21"/>
      <c r="J257" s="13"/>
      <c r="L257" s="26">
        <f>Table134567810111213141516171819202122232425[[#This Row],[الدولار]]+(Table134567810111213141516171819202122232425[[#This Row],[اللبناني]]/90)</f>
        <v>0</v>
      </c>
      <c r="M257" s="6"/>
    </row>
    <row r="258" spans="9:13" s="8" customFormat="1" x14ac:dyDescent="0.3">
      <c r="I258" s="21"/>
      <c r="J258" s="13"/>
      <c r="L258" s="26">
        <f>Table134567810111213141516171819202122232425[[#This Row],[الدولار]]+(Table134567810111213141516171819202122232425[[#This Row],[اللبناني]]/90)</f>
        <v>0</v>
      </c>
      <c r="M258" s="6"/>
    </row>
    <row r="259" spans="9:13" s="8" customFormat="1" x14ac:dyDescent="0.3">
      <c r="I259" s="21"/>
      <c r="J259" s="13"/>
      <c r="L259" s="26">
        <f>Table134567810111213141516171819202122232425[[#This Row],[الدولار]]+(Table134567810111213141516171819202122232425[[#This Row],[اللبناني]]/90)</f>
        <v>0</v>
      </c>
      <c r="M259" s="6"/>
    </row>
    <row r="260" spans="9:13" s="8" customFormat="1" x14ac:dyDescent="0.3">
      <c r="I260" s="21"/>
      <c r="J260" s="13"/>
      <c r="L260" s="26">
        <f>Table134567810111213141516171819202122232425[[#This Row],[الدولار]]+(Table134567810111213141516171819202122232425[[#This Row],[اللبناني]]/90)</f>
        <v>0</v>
      </c>
      <c r="M260" s="6"/>
    </row>
    <row r="261" spans="9:13" s="8" customFormat="1" x14ac:dyDescent="0.3">
      <c r="I261" s="21"/>
      <c r="J261" s="13"/>
      <c r="L261" s="26">
        <f>Table134567810111213141516171819202122232425[[#This Row],[الدولار]]+(Table134567810111213141516171819202122232425[[#This Row],[اللبناني]]/90)</f>
        <v>0</v>
      </c>
      <c r="M261" s="6"/>
    </row>
    <row r="262" spans="9:13" s="8" customFormat="1" x14ac:dyDescent="0.3">
      <c r="I262" s="21"/>
      <c r="J262" s="13"/>
      <c r="L262" s="26">
        <f>Table134567810111213141516171819202122232425[[#This Row],[الدولار]]+(Table134567810111213141516171819202122232425[[#This Row],[اللبناني]]/90)</f>
        <v>0</v>
      </c>
      <c r="M262" s="6"/>
    </row>
    <row r="263" spans="9:13" s="8" customFormat="1" x14ac:dyDescent="0.3">
      <c r="I263" s="21"/>
      <c r="J263" s="13"/>
      <c r="L263" s="26">
        <f>Table134567810111213141516171819202122232425[[#This Row],[الدولار]]+(Table134567810111213141516171819202122232425[[#This Row],[اللبناني]]/90)</f>
        <v>0</v>
      </c>
      <c r="M263" s="6"/>
    </row>
    <row r="264" spans="9:13" s="8" customFormat="1" x14ac:dyDescent="0.3">
      <c r="I264" s="21"/>
      <c r="J264" s="13"/>
      <c r="L264" s="26">
        <f>Table134567810111213141516171819202122232425[[#This Row],[الدولار]]+(Table134567810111213141516171819202122232425[[#This Row],[اللبناني]]/90)</f>
        <v>0</v>
      </c>
      <c r="M264" s="6"/>
    </row>
    <row r="265" spans="9:13" s="8" customFormat="1" x14ac:dyDescent="0.3">
      <c r="I265" s="21"/>
      <c r="J265" s="13"/>
      <c r="L265" s="26">
        <f>Table134567810111213141516171819202122232425[[#This Row],[الدولار]]+(Table134567810111213141516171819202122232425[[#This Row],[اللبناني]]/90)</f>
        <v>0</v>
      </c>
      <c r="M265" s="6"/>
    </row>
    <row r="266" spans="9:13" s="8" customFormat="1" x14ac:dyDescent="0.3">
      <c r="I266" s="21"/>
      <c r="J266" s="13"/>
      <c r="L266" s="26">
        <f>Table134567810111213141516171819202122232425[[#This Row],[الدولار]]+(Table134567810111213141516171819202122232425[[#This Row],[اللبناني]]/90)</f>
        <v>0</v>
      </c>
      <c r="M266" s="6"/>
    </row>
    <row r="267" spans="9:13" s="8" customFormat="1" x14ac:dyDescent="0.3">
      <c r="I267" s="21"/>
      <c r="J267" s="13"/>
      <c r="L267" s="26">
        <f>Table134567810111213141516171819202122232425[[#This Row],[الدولار]]+(Table134567810111213141516171819202122232425[[#This Row],[اللبناني]]/90)</f>
        <v>0</v>
      </c>
      <c r="M267" s="6"/>
    </row>
    <row r="268" spans="9:13" s="8" customFormat="1" x14ac:dyDescent="0.3">
      <c r="I268" s="21"/>
      <c r="J268" s="13"/>
      <c r="L268" s="26">
        <f>Table134567810111213141516171819202122232425[[#This Row],[الدولار]]+(Table134567810111213141516171819202122232425[[#This Row],[اللبناني]]/90)</f>
        <v>0</v>
      </c>
      <c r="M268" s="6"/>
    </row>
    <row r="269" spans="9:13" s="8" customFormat="1" x14ac:dyDescent="0.3">
      <c r="I269" s="21"/>
      <c r="J269" s="13"/>
      <c r="L269" s="26">
        <f>Table134567810111213141516171819202122232425[[#This Row],[الدولار]]+(Table134567810111213141516171819202122232425[[#This Row],[اللبناني]]/90)</f>
        <v>0</v>
      </c>
      <c r="M269" s="6"/>
    </row>
    <row r="270" spans="9:13" s="8" customFormat="1" x14ac:dyDescent="0.3">
      <c r="I270" s="21"/>
      <c r="J270" s="13"/>
      <c r="L270" s="26">
        <f>Table134567810111213141516171819202122232425[[#This Row],[الدولار]]+(Table134567810111213141516171819202122232425[[#This Row],[اللبناني]]/90)</f>
        <v>0</v>
      </c>
      <c r="M270" s="6"/>
    </row>
    <row r="271" spans="9:13" s="8" customFormat="1" x14ac:dyDescent="0.3">
      <c r="I271" s="21"/>
      <c r="J271" s="13"/>
      <c r="L271" s="26">
        <f>Table134567810111213141516171819202122232425[[#This Row],[الدولار]]+(Table134567810111213141516171819202122232425[[#This Row],[اللبناني]]/90)</f>
        <v>0</v>
      </c>
      <c r="M271" s="6"/>
    </row>
    <row r="272" spans="9:13" s="8" customFormat="1" x14ac:dyDescent="0.3">
      <c r="I272" s="21"/>
      <c r="J272" s="13"/>
      <c r="L272" s="26">
        <f>Table134567810111213141516171819202122232425[[#This Row],[الدولار]]+(Table134567810111213141516171819202122232425[[#This Row],[اللبناني]]/90)</f>
        <v>0</v>
      </c>
      <c r="M272" s="6"/>
    </row>
    <row r="273" spans="9:13" s="8" customFormat="1" x14ac:dyDescent="0.3">
      <c r="I273" s="21"/>
      <c r="J273" s="13"/>
      <c r="L273" s="26">
        <f>Table134567810111213141516171819202122232425[[#This Row],[الدولار]]+(Table134567810111213141516171819202122232425[[#This Row],[اللبناني]]/90)</f>
        <v>0</v>
      </c>
      <c r="M273" s="6"/>
    </row>
    <row r="274" spans="9:13" s="8" customFormat="1" x14ac:dyDescent="0.3">
      <c r="I274" s="21"/>
      <c r="J274" s="13"/>
      <c r="L274" s="26">
        <f>Table134567810111213141516171819202122232425[[#This Row],[الدولار]]+(Table134567810111213141516171819202122232425[[#This Row],[اللبناني]]/90)</f>
        <v>0</v>
      </c>
      <c r="M274" s="6"/>
    </row>
    <row r="275" spans="9:13" s="8" customFormat="1" x14ac:dyDescent="0.3">
      <c r="I275" s="21"/>
      <c r="J275" s="13"/>
      <c r="L275" s="26">
        <f>Table134567810111213141516171819202122232425[[#This Row],[الدولار]]+(Table134567810111213141516171819202122232425[[#This Row],[اللبناني]]/90)</f>
        <v>0</v>
      </c>
      <c r="M275" s="6"/>
    </row>
    <row r="276" spans="9:13" s="8" customFormat="1" x14ac:dyDescent="0.3">
      <c r="I276" s="21"/>
      <c r="J276" s="13"/>
      <c r="L276" s="26">
        <f>Table134567810111213141516171819202122232425[[#This Row],[الدولار]]+(Table134567810111213141516171819202122232425[[#This Row],[اللبناني]]/90)</f>
        <v>0</v>
      </c>
      <c r="M276" s="6"/>
    </row>
    <row r="277" spans="9:13" s="8" customFormat="1" x14ac:dyDescent="0.3">
      <c r="I277" s="21"/>
      <c r="J277" s="13"/>
      <c r="L277" s="26">
        <f>Table134567810111213141516171819202122232425[[#This Row],[الدولار]]+(Table134567810111213141516171819202122232425[[#This Row],[اللبناني]]/90)</f>
        <v>0</v>
      </c>
      <c r="M277" s="6"/>
    </row>
    <row r="278" spans="9:13" s="8" customFormat="1" x14ac:dyDescent="0.3">
      <c r="I278" s="21"/>
      <c r="J278" s="13"/>
      <c r="L278" s="26">
        <f>Table134567810111213141516171819202122232425[[#This Row],[الدولار]]+(Table134567810111213141516171819202122232425[[#This Row],[اللبناني]]/90)</f>
        <v>0</v>
      </c>
      <c r="M278" s="6"/>
    </row>
    <row r="279" spans="9:13" s="8" customFormat="1" x14ac:dyDescent="0.3">
      <c r="I279" s="21"/>
      <c r="J279" s="13"/>
      <c r="L279" s="26">
        <f>Table134567810111213141516171819202122232425[[#This Row],[الدولار]]+(Table134567810111213141516171819202122232425[[#This Row],[اللبناني]]/90)</f>
        <v>0</v>
      </c>
      <c r="M279" s="6"/>
    </row>
    <row r="280" spans="9:13" s="8" customFormat="1" x14ac:dyDescent="0.3">
      <c r="I280" s="21"/>
      <c r="J280" s="13"/>
      <c r="L280" s="26">
        <f>Table134567810111213141516171819202122232425[[#This Row],[الدولار]]+(Table134567810111213141516171819202122232425[[#This Row],[اللبناني]]/90)</f>
        <v>0</v>
      </c>
      <c r="M280" s="6"/>
    </row>
    <row r="281" spans="9:13" s="8" customFormat="1" x14ac:dyDescent="0.3">
      <c r="I281" s="21"/>
      <c r="J281" s="13"/>
      <c r="L281" s="26">
        <f>Table134567810111213141516171819202122232425[[#This Row],[الدولار]]+(Table134567810111213141516171819202122232425[[#This Row],[اللبناني]]/90)</f>
        <v>0</v>
      </c>
      <c r="M281" s="6"/>
    </row>
    <row r="282" spans="9:13" s="8" customFormat="1" x14ac:dyDescent="0.3">
      <c r="I282" s="21"/>
      <c r="J282" s="13"/>
      <c r="L282" s="26">
        <f>Table134567810111213141516171819202122232425[[#This Row],[الدولار]]+(Table134567810111213141516171819202122232425[[#This Row],[اللبناني]]/90)</f>
        <v>0</v>
      </c>
      <c r="M282" s="6"/>
    </row>
    <row r="283" spans="9:13" s="8" customFormat="1" x14ac:dyDescent="0.3">
      <c r="I283" s="21"/>
      <c r="J283" s="13"/>
      <c r="L283" s="26">
        <f>Table134567810111213141516171819202122232425[[#This Row],[الدولار]]+(Table134567810111213141516171819202122232425[[#This Row],[اللبناني]]/90)</f>
        <v>0</v>
      </c>
      <c r="M283" s="6"/>
    </row>
    <row r="284" spans="9:13" s="8" customFormat="1" x14ac:dyDescent="0.3">
      <c r="I284" s="21"/>
      <c r="J284" s="13"/>
      <c r="L284" s="26">
        <f>Table134567810111213141516171819202122232425[[#This Row],[الدولار]]+(Table134567810111213141516171819202122232425[[#This Row],[اللبناني]]/90)</f>
        <v>0</v>
      </c>
      <c r="M284" s="6"/>
    </row>
    <row r="285" spans="9:13" s="8" customFormat="1" x14ac:dyDescent="0.3">
      <c r="I285" s="21"/>
      <c r="J285" s="13"/>
      <c r="L285" s="26">
        <f>Table134567810111213141516171819202122232425[[#This Row],[الدولار]]+(Table134567810111213141516171819202122232425[[#This Row],[اللبناني]]/90)</f>
        <v>0</v>
      </c>
      <c r="M285" s="6"/>
    </row>
    <row r="286" spans="9:13" s="8" customFormat="1" x14ac:dyDescent="0.3">
      <c r="I286" s="21"/>
      <c r="J286" s="13"/>
      <c r="L286" s="26">
        <f>Table134567810111213141516171819202122232425[[#This Row],[الدولار]]+(Table134567810111213141516171819202122232425[[#This Row],[اللبناني]]/90)</f>
        <v>0</v>
      </c>
      <c r="M286" s="6"/>
    </row>
    <row r="287" spans="9:13" s="8" customFormat="1" x14ac:dyDescent="0.3">
      <c r="I287" s="21"/>
      <c r="J287" s="13"/>
      <c r="L287" s="26">
        <f>Table134567810111213141516171819202122232425[[#This Row],[الدولار]]+(Table134567810111213141516171819202122232425[[#This Row],[اللبناني]]/90)</f>
        <v>0</v>
      </c>
      <c r="M287" s="6"/>
    </row>
    <row r="288" spans="9:13" s="8" customFormat="1" x14ac:dyDescent="0.3">
      <c r="I288" s="21"/>
      <c r="J288" s="13"/>
      <c r="L288" s="26">
        <f>Table134567810111213141516171819202122232425[[#This Row],[الدولار]]+(Table134567810111213141516171819202122232425[[#This Row],[اللبناني]]/90)</f>
        <v>0</v>
      </c>
      <c r="M288" s="6"/>
    </row>
    <row r="289" spans="9:13" s="8" customFormat="1" x14ac:dyDescent="0.3">
      <c r="I289" s="21"/>
      <c r="J289" s="13"/>
      <c r="L289" s="26">
        <f>Table134567810111213141516171819202122232425[[#This Row],[الدولار]]+(Table134567810111213141516171819202122232425[[#This Row],[اللبناني]]/90)</f>
        <v>0</v>
      </c>
      <c r="M289" s="6"/>
    </row>
    <row r="290" spans="9:13" s="8" customFormat="1" x14ac:dyDescent="0.3">
      <c r="I290" s="21"/>
      <c r="J290" s="13"/>
      <c r="L290" s="26">
        <f>Table134567810111213141516171819202122232425[[#This Row],[الدولار]]+(Table134567810111213141516171819202122232425[[#This Row],[اللبناني]]/90)</f>
        <v>0</v>
      </c>
      <c r="M290" s="6"/>
    </row>
    <row r="291" spans="9:13" s="8" customFormat="1" x14ac:dyDescent="0.3">
      <c r="I291" s="21"/>
      <c r="J291" s="13"/>
      <c r="L291" s="26">
        <f>Table134567810111213141516171819202122232425[[#This Row],[الدولار]]+(Table134567810111213141516171819202122232425[[#This Row],[اللبناني]]/90)</f>
        <v>0</v>
      </c>
      <c r="M291" s="6"/>
    </row>
    <row r="292" spans="9:13" s="8" customFormat="1" x14ac:dyDescent="0.3">
      <c r="I292" s="21"/>
      <c r="J292" s="13"/>
      <c r="L292" s="26">
        <f>Table134567810111213141516171819202122232425[[#This Row],[الدولار]]+(Table134567810111213141516171819202122232425[[#This Row],[اللبناني]]/90)</f>
        <v>0</v>
      </c>
      <c r="M292" s="6"/>
    </row>
    <row r="293" spans="9:13" s="8" customFormat="1" x14ac:dyDescent="0.3">
      <c r="I293" s="21"/>
      <c r="J293" s="13"/>
      <c r="L293" s="26">
        <f>Table134567810111213141516171819202122232425[[#This Row],[الدولار]]+(Table134567810111213141516171819202122232425[[#This Row],[اللبناني]]/90)</f>
        <v>0</v>
      </c>
      <c r="M293" s="6"/>
    </row>
    <row r="294" spans="9:13" s="8" customFormat="1" x14ac:dyDescent="0.3">
      <c r="I294" s="21"/>
      <c r="J294" s="13"/>
      <c r="L294" s="26">
        <f>Table134567810111213141516171819202122232425[[#This Row],[الدولار]]+(Table134567810111213141516171819202122232425[[#This Row],[اللبناني]]/90)</f>
        <v>0</v>
      </c>
      <c r="M294" s="6"/>
    </row>
    <row r="295" spans="9:13" s="8" customFormat="1" x14ac:dyDescent="0.3">
      <c r="I295" s="21"/>
      <c r="J295" s="13"/>
      <c r="L295" s="26">
        <f>Table134567810111213141516171819202122232425[[#This Row],[الدولار]]+(Table134567810111213141516171819202122232425[[#This Row],[اللبناني]]/90)</f>
        <v>0</v>
      </c>
      <c r="M295" s="6"/>
    </row>
    <row r="296" spans="9:13" s="8" customFormat="1" x14ac:dyDescent="0.3">
      <c r="I296" s="21"/>
      <c r="J296" s="13"/>
      <c r="L296" s="26">
        <f>Table134567810111213141516171819202122232425[[#This Row],[الدولار]]+(Table134567810111213141516171819202122232425[[#This Row],[اللبناني]]/90)</f>
        <v>0</v>
      </c>
      <c r="M296" s="6"/>
    </row>
    <row r="297" spans="9:13" s="8" customFormat="1" x14ac:dyDescent="0.3">
      <c r="I297" s="21"/>
      <c r="J297" s="13"/>
      <c r="L297" s="26">
        <f>Table134567810111213141516171819202122232425[[#This Row],[الدولار]]+(Table134567810111213141516171819202122232425[[#This Row],[اللبناني]]/90)</f>
        <v>0</v>
      </c>
      <c r="M297" s="6"/>
    </row>
    <row r="298" spans="9:13" s="8" customFormat="1" x14ac:dyDescent="0.3">
      <c r="I298" s="21"/>
      <c r="J298" s="13"/>
      <c r="L298" s="26">
        <f>Table134567810111213141516171819202122232425[[#This Row],[الدولار]]+(Table134567810111213141516171819202122232425[[#This Row],[اللبناني]]/90)</f>
        <v>0</v>
      </c>
      <c r="M298" s="6"/>
    </row>
    <row r="299" spans="9:13" s="8" customFormat="1" x14ac:dyDescent="0.3">
      <c r="I299" s="21"/>
      <c r="J299" s="13"/>
      <c r="L299" s="26">
        <f>Table134567810111213141516171819202122232425[[#This Row],[الدولار]]+(Table134567810111213141516171819202122232425[[#This Row],[اللبناني]]/90)</f>
        <v>0</v>
      </c>
      <c r="M299" s="6"/>
    </row>
    <row r="300" spans="9:13" s="8" customFormat="1" x14ac:dyDescent="0.3">
      <c r="I300" s="21"/>
      <c r="J300" s="13"/>
      <c r="L300" s="26">
        <f>Table134567810111213141516171819202122232425[[#This Row],[الدولار]]+(Table134567810111213141516171819202122232425[[#This Row],[اللبناني]]/90)</f>
        <v>0</v>
      </c>
      <c r="M300" s="6"/>
    </row>
    <row r="301" spans="9:13" s="8" customFormat="1" x14ac:dyDescent="0.3">
      <c r="I301" s="21"/>
      <c r="J301" s="13"/>
      <c r="L301" s="26">
        <f>Table134567810111213141516171819202122232425[[#This Row],[الدولار]]+(Table134567810111213141516171819202122232425[[#This Row],[اللبناني]]/90)</f>
        <v>0</v>
      </c>
      <c r="M301" s="6"/>
    </row>
    <row r="302" spans="9:13" s="8" customFormat="1" x14ac:dyDescent="0.3">
      <c r="I302" s="21"/>
      <c r="J302" s="13"/>
      <c r="L302" s="26">
        <f>Table134567810111213141516171819202122232425[[#This Row],[الدولار]]+(Table134567810111213141516171819202122232425[[#This Row],[اللبناني]]/90)</f>
        <v>0</v>
      </c>
      <c r="M302" s="6"/>
    </row>
    <row r="303" spans="9:13" s="8" customFormat="1" x14ac:dyDescent="0.3">
      <c r="I303" s="21"/>
      <c r="J303" s="13"/>
      <c r="L303" s="26">
        <f>Table134567810111213141516171819202122232425[[#This Row],[الدولار]]+(Table134567810111213141516171819202122232425[[#This Row],[اللبناني]]/90)</f>
        <v>0</v>
      </c>
      <c r="M303" s="6"/>
    </row>
    <row r="304" spans="9:13" s="8" customFormat="1" x14ac:dyDescent="0.3">
      <c r="I304" s="21"/>
      <c r="J304" s="13"/>
      <c r="L304" s="26">
        <f>Table134567810111213141516171819202122232425[[#This Row],[الدولار]]+(Table134567810111213141516171819202122232425[[#This Row],[اللبناني]]/90)</f>
        <v>0</v>
      </c>
      <c r="M304" s="6"/>
    </row>
    <row r="305" spans="9:13" s="8" customFormat="1" x14ac:dyDescent="0.3">
      <c r="I305" s="21"/>
      <c r="J305" s="13"/>
      <c r="L305" s="26">
        <f>Table134567810111213141516171819202122232425[[#This Row],[الدولار]]+(Table134567810111213141516171819202122232425[[#This Row],[اللبناني]]/90)</f>
        <v>0</v>
      </c>
      <c r="M305" s="6"/>
    </row>
    <row r="306" spans="9:13" s="8" customFormat="1" x14ac:dyDescent="0.3">
      <c r="I306" s="21"/>
      <c r="J306" s="13"/>
      <c r="L306" s="26">
        <f>Table134567810111213141516171819202122232425[[#This Row],[الدولار]]+(Table134567810111213141516171819202122232425[[#This Row],[اللبناني]]/90)</f>
        <v>0</v>
      </c>
      <c r="M306" s="6"/>
    </row>
    <row r="307" spans="9:13" s="8" customFormat="1" x14ac:dyDescent="0.3">
      <c r="I307" s="21"/>
      <c r="J307" s="13"/>
      <c r="L307" s="26">
        <f>Table134567810111213141516171819202122232425[[#This Row],[الدولار]]+(Table134567810111213141516171819202122232425[[#This Row],[اللبناني]]/90)</f>
        <v>0</v>
      </c>
      <c r="M307" s="6"/>
    </row>
    <row r="308" spans="9:13" s="8" customFormat="1" x14ac:dyDescent="0.3">
      <c r="I308" s="21"/>
      <c r="J308" s="13"/>
      <c r="L308" s="26">
        <f>Table134567810111213141516171819202122232425[[#This Row],[الدولار]]+(Table134567810111213141516171819202122232425[[#This Row],[اللبناني]]/90)</f>
        <v>0</v>
      </c>
      <c r="M308" s="6"/>
    </row>
    <row r="309" spans="9:13" s="8" customFormat="1" x14ac:dyDescent="0.3">
      <c r="I309" s="21"/>
      <c r="J309" s="13"/>
      <c r="L309" s="26">
        <f>Table134567810111213141516171819202122232425[[#This Row],[الدولار]]+(Table134567810111213141516171819202122232425[[#This Row],[اللبناني]]/90)</f>
        <v>0</v>
      </c>
      <c r="M309" s="6"/>
    </row>
    <row r="310" spans="9:13" s="8" customFormat="1" x14ac:dyDescent="0.3">
      <c r="I310" s="21"/>
      <c r="J310" s="13"/>
      <c r="L310" s="26">
        <f>Table134567810111213141516171819202122232425[[#This Row],[الدولار]]+(Table134567810111213141516171819202122232425[[#This Row],[اللبناني]]/90)</f>
        <v>0</v>
      </c>
      <c r="M310" s="6"/>
    </row>
    <row r="311" spans="9:13" s="8" customFormat="1" x14ac:dyDescent="0.3">
      <c r="I311" s="21"/>
      <c r="J311" s="13"/>
      <c r="L311" s="26">
        <f>Table134567810111213141516171819202122232425[[#This Row],[الدولار]]+(Table134567810111213141516171819202122232425[[#This Row],[اللبناني]]/90)</f>
        <v>0</v>
      </c>
      <c r="M311" s="6"/>
    </row>
    <row r="312" spans="9:13" s="8" customFormat="1" x14ac:dyDescent="0.3">
      <c r="I312" s="21"/>
      <c r="J312" s="13"/>
      <c r="L312" s="26">
        <f>Table134567810111213141516171819202122232425[[#This Row],[الدولار]]+(Table134567810111213141516171819202122232425[[#This Row],[اللبناني]]/90)</f>
        <v>0</v>
      </c>
      <c r="M312" s="6"/>
    </row>
    <row r="313" spans="9:13" s="8" customFormat="1" x14ac:dyDescent="0.3">
      <c r="I313" s="21"/>
      <c r="J313" s="13"/>
      <c r="L313" s="26">
        <f>Table134567810111213141516171819202122232425[[#This Row],[الدولار]]+(Table134567810111213141516171819202122232425[[#This Row],[اللبناني]]/90)</f>
        <v>0</v>
      </c>
      <c r="M313" s="6"/>
    </row>
    <row r="314" spans="9:13" s="8" customFormat="1" x14ac:dyDescent="0.3">
      <c r="I314" s="21"/>
      <c r="J314" s="13"/>
      <c r="L314" s="26">
        <f>Table134567810111213141516171819202122232425[[#This Row],[الدولار]]+(Table134567810111213141516171819202122232425[[#This Row],[اللبناني]]/90)</f>
        <v>0</v>
      </c>
      <c r="M314" s="6"/>
    </row>
    <row r="315" spans="9:13" s="8" customFormat="1" x14ac:dyDescent="0.3">
      <c r="I315" s="21"/>
      <c r="J315" s="13"/>
      <c r="L315" s="26">
        <f>Table134567810111213141516171819202122232425[[#This Row],[الدولار]]+(Table134567810111213141516171819202122232425[[#This Row],[اللبناني]]/90)</f>
        <v>0</v>
      </c>
      <c r="M315" s="6"/>
    </row>
    <row r="316" spans="9:13" s="8" customFormat="1" x14ac:dyDescent="0.3">
      <c r="I316" s="21"/>
      <c r="J316" s="13"/>
      <c r="L316" s="26">
        <f>Table134567810111213141516171819202122232425[[#This Row],[الدولار]]+(Table134567810111213141516171819202122232425[[#This Row],[اللبناني]]/90)</f>
        <v>0</v>
      </c>
      <c r="M316" s="6"/>
    </row>
    <row r="317" spans="9:13" s="8" customFormat="1" x14ac:dyDescent="0.3">
      <c r="I317" s="21"/>
      <c r="J317" s="13"/>
      <c r="L317" s="26">
        <f>Table134567810111213141516171819202122232425[[#This Row],[الدولار]]+(Table134567810111213141516171819202122232425[[#This Row],[اللبناني]]/90)</f>
        <v>0</v>
      </c>
      <c r="M317" s="6"/>
    </row>
    <row r="318" spans="9:13" s="8" customFormat="1" x14ac:dyDescent="0.3">
      <c r="I318" s="21"/>
      <c r="J318" s="13"/>
      <c r="L318" s="26">
        <f>Table134567810111213141516171819202122232425[[#This Row],[الدولار]]+(Table134567810111213141516171819202122232425[[#This Row],[اللبناني]]/90)</f>
        <v>0</v>
      </c>
      <c r="M318" s="6"/>
    </row>
    <row r="319" spans="9:13" s="8" customFormat="1" x14ac:dyDescent="0.3">
      <c r="I319" s="21"/>
      <c r="J319" s="13"/>
      <c r="L319" s="26">
        <f>Table134567810111213141516171819202122232425[[#This Row],[الدولار]]+(Table134567810111213141516171819202122232425[[#This Row],[اللبناني]]/90)</f>
        <v>0</v>
      </c>
      <c r="M319" s="6"/>
    </row>
    <row r="320" spans="9:13" s="8" customFormat="1" x14ac:dyDescent="0.3">
      <c r="I320" s="21"/>
      <c r="J320" s="13"/>
      <c r="L320" s="26">
        <f>Table134567810111213141516171819202122232425[[#This Row],[الدولار]]+(Table134567810111213141516171819202122232425[[#This Row],[اللبناني]]/90)</f>
        <v>0</v>
      </c>
      <c r="M320" s="6"/>
    </row>
    <row r="321" spans="9:13" s="8" customFormat="1" x14ac:dyDescent="0.3">
      <c r="I321" s="21"/>
      <c r="J321" s="13"/>
      <c r="L321" s="26">
        <f>Table134567810111213141516171819202122232425[[#This Row],[الدولار]]+(Table134567810111213141516171819202122232425[[#This Row],[اللبناني]]/90)</f>
        <v>0</v>
      </c>
      <c r="M321" s="6"/>
    </row>
    <row r="322" spans="9:13" s="8" customFormat="1" x14ac:dyDescent="0.3">
      <c r="I322" s="21"/>
      <c r="J322" s="13"/>
      <c r="L322" s="26">
        <f>Table134567810111213141516171819202122232425[[#This Row],[الدولار]]+(Table134567810111213141516171819202122232425[[#This Row],[اللبناني]]/90)</f>
        <v>0</v>
      </c>
      <c r="M322" s="6"/>
    </row>
    <row r="323" spans="9:13" s="8" customFormat="1" x14ac:dyDescent="0.3">
      <c r="I323" s="21"/>
      <c r="J323" s="13"/>
      <c r="L323" s="26">
        <f>Table134567810111213141516171819202122232425[[#This Row],[الدولار]]+(Table134567810111213141516171819202122232425[[#This Row],[اللبناني]]/90)</f>
        <v>0</v>
      </c>
      <c r="M323" s="6"/>
    </row>
    <row r="324" spans="9:13" s="8" customFormat="1" x14ac:dyDescent="0.3">
      <c r="I324" s="21"/>
      <c r="J324" s="13"/>
      <c r="L324" s="26">
        <f>Table134567810111213141516171819202122232425[[#This Row],[الدولار]]+(Table134567810111213141516171819202122232425[[#This Row],[اللبناني]]/90)</f>
        <v>0</v>
      </c>
      <c r="M324" s="6"/>
    </row>
    <row r="325" spans="9:13" s="8" customFormat="1" x14ac:dyDescent="0.3">
      <c r="I325" s="21"/>
      <c r="J325" s="13"/>
      <c r="L325" s="26">
        <f>Table134567810111213141516171819202122232425[[#This Row],[الدولار]]+(Table134567810111213141516171819202122232425[[#This Row],[اللبناني]]/90)</f>
        <v>0</v>
      </c>
      <c r="M325" s="6"/>
    </row>
    <row r="326" spans="9:13" s="8" customFormat="1" x14ac:dyDescent="0.3">
      <c r="I326" s="21"/>
      <c r="J326" s="13"/>
      <c r="L326" s="26">
        <f>Table134567810111213141516171819202122232425[[#This Row],[الدولار]]+(Table134567810111213141516171819202122232425[[#This Row],[اللبناني]]/90)</f>
        <v>0</v>
      </c>
      <c r="M326" s="6"/>
    </row>
    <row r="327" spans="9:13" s="8" customFormat="1" x14ac:dyDescent="0.3">
      <c r="I327" s="21"/>
      <c r="J327" s="13"/>
      <c r="L327" s="26">
        <f>Table134567810111213141516171819202122232425[[#This Row],[الدولار]]+(Table134567810111213141516171819202122232425[[#This Row],[اللبناني]]/90)</f>
        <v>0</v>
      </c>
      <c r="M327" s="6"/>
    </row>
    <row r="328" spans="9:13" s="8" customFormat="1" x14ac:dyDescent="0.3">
      <c r="I328" s="21"/>
      <c r="J328" s="13"/>
      <c r="L328" s="26">
        <f>Table134567810111213141516171819202122232425[[#This Row],[الدولار]]+(Table134567810111213141516171819202122232425[[#This Row],[اللبناني]]/90)</f>
        <v>0</v>
      </c>
      <c r="M328" s="6"/>
    </row>
    <row r="329" spans="9:13" s="8" customFormat="1" x14ac:dyDescent="0.3">
      <c r="I329" s="21"/>
      <c r="J329" s="13"/>
      <c r="L329" s="26">
        <f>Table134567810111213141516171819202122232425[[#This Row],[الدولار]]+(Table134567810111213141516171819202122232425[[#This Row],[اللبناني]]/90)</f>
        <v>0</v>
      </c>
      <c r="M329" s="6"/>
    </row>
    <row r="330" spans="9:13" s="8" customFormat="1" x14ac:dyDescent="0.3">
      <c r="I330" s="21"/>
      <c r="J330" s="13"/>
      <c r="L330" s="26">
        <f>Table134567810111213141516171819202122232425[[#This Row],[الدولار]]+(Table134567810111213141516171819202122232425[[#This Row],[اللبناني]]/90)</f>
        <v>0</v>
      </c>
      <c r="M330" s="6"/>
    </row>
    <row r="331" spans="9:13" s="8" customFormat="1" x14ac:dyDescent="0.3">
      <c r="I331" s="21"/>
      <c r="J331" s="13"/>
      <c r="L331" s="26">
        <f>Table134567810111213141516171819202122232425[[#This Row],[الدولار]]+(Table134567810111213141516171819202122232425[[#This Row],[اللبناني]]/90)</f>
        <v>0</v>
      </c>
      <c r="M331" s="6"/>
    </row>
    <row r="332" spans="9:13" s="8" customFormat="1" x14ac:dyDescent="0.3">
      <c r="I332" s="21"/>
      <c r="J332" s="13"/>
      <c r="L332" s="26">
        <f>Table134567810111213141516171819202122232425[[#This Row],[الدولار]]+(Table134567810111213141516171819202122232425[[#This Row],[اللبناني]]/90)</f>
        <v>0</v>
      </c>
      <c r="M332" s="6"/>
    </row>
    <row r="333" spans="9:13" s="8" customFormat="1" x14ac:dyDescent="0.3">
      <c r="I333" s="21"/>
      <c r="J333" s="13"/>
      <c r="L333" s="26">
        <f>Table134567810111213141516171819202122232425[[#This Row],[الدولار]]+(Table134567810111213141516171819202122232425[[#This Row],[اللبناني]]/90)</f>
        <v>0</v>
      </c>
      <c r="M333" s="6"/>
    </row>
    <row r="334" spans="9:13" s="8" customFormat="1" x14ac:dyDescent="0.3">
      <c r="I334" s="21"/>
      <c r="J334" s="13"/>
      <c r="L334" s="26">
        <f>Table134567810111213141516171819202122232425[[#This Row],[الدولار]]+(Table134567810111213141516171819202122232425[[#This Row],[اللبناني]]/90)</f>
        <v>0</v>
      </c>
      <c r="M334" s="6"/>
    </row>
    <row r="335" spans="9:13" s="8" customFormat="1" x14ac:dyDescent="0.3">
      <c r="I335" s="21"/>
      <c r="J335" s="13"/>
      <c r="L335" s="26">
        <f>Table134567810111213141516171819202122232425[[#This Row],[الدولار]]+(Table134567810111213141516171819202122232425[[#This Row],[اللبناني]]/90)</f>
        <v>0</v>
      </c>
      <c r="M335" s="6"/>
    </row>
    <row r="336" spans="9:13" s="8" customFormat="1" x14ac:dyDescent="0.3">
      <c r="I336" s="21"/>
      <c r="J336" s="13"/>
      <c r="L336" s="26">
        <f>Table134567810111213141516171819202122232425[[#This Row],[الدولار]]+(Table134567810111213141516171819202122232425[[#This Row],[اللبناني]]/90)</f>
        <v>0</v>
      </c>
      <c r="M336" s="6"/>
    </row>
    <row r="337" spans="9:13" s="8" customFormat="1" x14ac:dyDescent="0.3">
      <c r="I337" s="21"/>
      <c r="J337" s="13"/>
      <c r="L337" s="26">
        <f>Table134567810111213141516171819202122232425[[#This Row],[الدولار]]+(Table134567810111213141516171819202122232425[[#This Row],[اللبناني]]/90)</f>
        <v>0</v>
      </c>
      <c r="M337" s="6"/>
    </row>
    <row r="338" spans="9:13" s="8" customFormat="1" x14ac:dyDescent="0.3">
      <c r="I338" s="21"/>
      <c r="J338" s="13"/>
      <c r="L338" s="26">
        <f>Table134567810111213141516171819202122232425[[#This Row],[الدولار]]+(Table134567810111213141516171819202122232425[[#This Row],[اللبناني]]/90)</f>
        <v>0</v>
      </c>
      <c r="M338" s="6"/>
    </row>
    <row r="339" spans="9:13" s="8" customFormat="1" x14ac:dyDescent="0.3">
      <c r="I339" s="21"/>
      <c r="J339" s="13"/>
      <c r="L339" s="26">
        <f>Table134567810111213141516171819202122232425[[#This Row],[الدولار]]+(Table134567810111213141516171819202122232425[[#This Row],[اللبناني]]/90)</f>
        <v>0</v>
      </c>
      <c r="M339" s="6"/>
    </row>
    <row r="340" spans="9:13" s="8" customFormat="1" x14ac:dyDescent="0.3">
      <c r="I340" s="21"/>
      <c r="J340" s="13"/>
      <c r="L340" s="26">
        <f>Table134567810111213141516171819202122232425[[#This Row],[الدولار]]+(Table134567810111213141516171819202122232425[[#This Row],[اللبناني]]/90)</f>
        <v>0</v>
      </c>
      <c r="M340" s="6"/>
    </row>
    <row r="341" spans="9:13" s="8" customFormat="1" x14ac:dyDescent="0.3">
      <c r="I341" s="21"/>
      <c r="J341" s="13"/>
      <c r="L341" s="26">
        <f>Table134567810111213141516171819202122232425[[#This Row],[الدولار]]+(Table134567810111213141516171819202122232425[[#This Row],[اللبناني]]/90)</f>
        <v>0</v>
      </c>
      <c r="M341" s="6"/>
    </row>
    <row r="342" spans="9:13" s="8" customFormat="1" x14ac:dyDescent="0.3">
      <c r="I342" s="21"/>
      <c r="J342" s="13"/>
      <c r="L342" s="26">
        <f>Table134567810111213141516171819202122232425[[#This Row],[الدولار]]+(Table134567810111213141516171819202122232425[[#This Row],[اللبناني]]/90)</f>
        <v>0</v>
      </c>
      <c r="M342" s="6"/>
    </row>
    <row r="343" spans="9:13" s="8" customFormat="1" x14ac:dyDescent="0.3">
      <c r="I343" s="21"/>
      <c r="J343" s="13"/>
      <c r="L343" s="26">
        <f>Table134567810111213141516171819202122232425[[#This Row],[الدولار]]+(Table134567810111213141516171819202122232425[[#This Row],[اللبناني]]/90)</f>
        <v>0</v>
      </c>
      <c r="M343" s="6"/>
    </row>
    <row r="344" spans="9:13" s="8" customFormat="1" x14ac:dyDescent="0.3">
      <c r="I344" s="21"/>
      <c r="J344" s="13"/>
      <c r="L344" s="26">
        <f>Table134567810111213141516171819202122232425[[#This Row],[الدولار]]+(Table134567810111213141516171819202122232425[[#This Row],[اللبناني]]/90)</f>
        <v>0</v>
      </c>
      <c r="M344" s="6"/>
    </row>
    <row r="345" spans="9:13" s="8" customFormat="1" x14ac:dyDescent="0.3">
      <c r="I345" s="21"/>
      <c r="J345" s="13"/>
      <c r="L345" s="26">
        <f>Table134567810111213141516171819202122232425[[#This Row],[الدولار]]+(Table134567810111213141516171819202122232425[[#This Row],[اللبناني]]/90)</f>
        <v>0</v>
      </c>
      <c r="M345" s="6"/>
    </row>
    <row r="346" spans="9:13" s="8" customFormat="1" x14ac:dyDescent="0.3">
      <c r="I346" s="21"/>
      <c r="J346" s="13"/>
      <c r="L346" s="26">
        <f>Table134567810111213141516171819202122232425[[#This Row],[الدولار]]+(Table134567810111213141516171819202122232425[[#This Row],[اللبناني]]/90)</f>
        <v>0</v>
      </c>
      <c r="M346" s="6"/>
    </row>
    <row r="347" spans="9:13" s="8" customFormat="1" x14ac:dyDescent="0.3">
      <c r="I347" s="21"/>
      <c r="J347" s="13"/>
      <c r="L347" s="26">
        <f>Table134567810111213141516171819202122232425[[#This Row],[الدولار]]+(Table134567810111213141516171819202122232425[[#This Row],[اللبناني]]/90)</f>
        <v>0</v>
      </c>
      <c r="M347" s="6"/>
    </row>
    <row r="348" spans="9:13" s="8" customFormat="1" x14ac:dyDescent="0.3">
      <c r="I348" s="21"/>
      <c r="J348" s="13"/>
      <c r="L348" s="26">
        <f>Table134567810111213141516171819202122232425[[#This Row],[الدولار]]+(Table134567810111213141516171819202122232425[[#This Row],[اللبناني]]/90)</f>
        <v>0</v>
      </c>
      <c r="M348" s="6"/>
    </row>
    <row r="349" spans="9:13" s="8" customFormat="1" x14ac:dyDescent="0.3">
      <c r="I349" s="21"/>
      <c r="J349" s="13"/>
      <c r="L349" s="26">
        <f>Table134567810111213141516171819202122232425[[#This Row],[الدولار]]+(Table134567810111213141516171819202122232425[[#This Row],[اللبناني]]/90)</f>
        <v>0</v>
      </c>
      <c r="M349" s="6"/>
    </row>
    <row r="350" spans="9:13" s="8" customFormat="1" x14ac:dyDescent="0.3">
      <c r="I350" s="21"/>
      <c r="J350" s="13"/>
      <c r="L350" s="26">
        <f>Table134567810111213141516171819202122232425[[#This Row],[الدولار]]+(Table134567810111213141516171819202122232425[[#This Row],[اللبناني]]/90)</f>
        <v>0</v>
      </c>
      <c r="M350" s="6"/>
    </row>
    <row r="351" spans="9:13" s="8" customFormat="1" x14ac:dyDescent="0.3">
      <c r="I351" s="21"/>
      <c r="J351" s="13"/>
      <c r="L351" s="26">
        <f>Table134567810111213141516171819202122232425[[#This Row],[الدولار]]+(Table134567810111213141516171819202122232425[[#This Row],[اللبناني]]/90)</f>
        <v>0</v>
      </c>
      <c r="M351" s="6"/>
    </row>
    <row r="352" spans="9:13" s="8" customFormat="1" x14ac:dyDescent="0.3">
      <c r="I352" s="21"/>
      <c r="J352" s="13"/>
      <c r="L352" s="26">
        <f>Table134567810111213141516171819202122232425[[#This Row],[الدولار]]+(Table134567810111213141516171819202122232425[[#This Row],[اللبناني]]/90)</f>
        <v>0</v>
      </c>
      <c r="M352" s="6"/>
    </row>
    <row r="353" spans="9:13" s="8" customFormat="1" x14ac:dyDescent="0.3">
      <c r="I353" s="21"/>
      <c r="J353" s="13"/>
      <c r="L353" s="26">
        <f>Table134567810111213141516171819202122232425[[#This Row],[الدولار]]+(Table134567810111213141516171819202122232425[[#This Row],[اللبناني]]/90)</f>
        <v>0</v>
      </c>
      <c r="M353" s="6"/>
    </row>
    <row r="354" spans="9:13" s="8" customFormat="1" x14ac:dyDescent="0.3">
      <c r="I354" s="21"/>
      <c r="J354" s="13"/>
      <c r="L354" s="26">
        <f>Table134567810111213141516171819202122232425[[#This Row],[الدولار]]+(Table134567810111213141516171819202122232425[[#This Row],[اللبناني]]/90)</f>
        <v>0</v>
      </c>
      <c r="M354" s="6"/>
    </row>
  </sheetData>
  <mergeCells count="4">
    <mergeCell ref="A13:F13"/>
    <mergeCell ref="N13:S13"/>
    <mergeCell ref="Q22:R22"/>
    <mergeCell ref="N23:O23"/>
  </mergeCells>
  <pageMargins left="0.25" right="0.25" top="0.75" bottom="0.75" header="0.3" footer="0.3"/>
  <pageSetup paperSize="9" scale="65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B7B8-90D2-4FAA-97DD-259EA06B09C9}">
  <sheetPr>
    <pageSetUpPr fitToPage="1"/>
  </sheetPr>
  <dimension ref="A1:S354"/>
  <sheetViews>
    <sheetView rightToLeft="1" topLeftCell="A13" zoomScale="115" zoomScaleNormal="115" workbookViewId="0">
      <selection activeCell="J131" sqref="J131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7.88671875" style="2" bestFit="1" customWidth="1"/>
    <col min="4" max="4" width="9.109375" style="2" bestFit="1" customWidth="1"/>
    <col min="5" max="5" width="5.109375" style="2" bestFit="1" customWidth="1"/>
    <col min="6" max="6" width="10.44140625" style="2" bestFit="1" customWidth="1"/>
    <col min="7" max="7" width="2.44140625" style="2" customWidth="1"/>
    <col min="8" max="8" width="8.88671875" style="2" bestFit="1" customWidth="1"/>
    <col min="9" max="9" width="14.109375" style="21" bestFit="1" customWidth="1"/>
    <col min="10" max="10" width="12.109375" style="7" bestFit="1" customWidth="1"/>
    <col min="11" max="11" width="8.5546875" style="8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1.109375" style="2" bestFit="1" customWidth="1"/>
    <col min="20" max="16384" width="8.88671875" style="2"/>
  </cols>
  <sheetData>
    <row r="1" spans="1:19" x14ac:dyDescent="0.3">
      <c r="I1" s="21" t="s">
        <v>22</v>
      </c>
      <c r="J1" s="7">
        <f>SUM(J3:J11)</f>
        <v>285</v>
      </c>
      <c r="K1" s="7">
        <f>SUM(K3:K11)</f>
        <v>165</v>
      </c>
      <c r="L1" s="7">
        <f>SUM(L3:L11)</f>
        <v>168.16666666666666</v>
      </c>
    </row>
    <row r="2" spans="1:19" x14ac:dyDescent="0.3">
      <c r="H2" s="2" t="s">
        <v>136</v>
      </c>
      <c r="I2" s="22" t="s">
        <v>6</v>
      </c>
      <c r="J2" s="3" t="s">
        <v>5</v>
      </c>
      <c r="K2" s="9" t="s">
        <v>4</v>
      </c>
      <c r="L2" s="9" t="s">
        <v>125</v>
      </c>
    </row>
    <row r="3" spans="1:19" x14ac:dyDescent="0.3">
      <c r="H3" s="5" t="s">
        <v>144</v>
      </c>
      <c r="I3" s="23"/>
      <c r="J3" s="15"/>
      <c r="K3" s="8">
        <v>100</v>
      </c>
      <c r="L3" s="26">
        <f t="shared" ref="L3:L11" si="0">K3+(J3/90)</f>
        <v>100</v>
      </c>
    </row>
    <row r="4" spans="1:19" x14ac:dyDescent="0.3">
      <c r="H4" s="5" t="s">
        <v>144</v>
      </c>
      <c r="I4" s="23"/>
      <c r="J4" s="15">
        <v>-225</v>
      </c>
      <c r="L4" s="26">
        <f t="shared" si="0"/>
        <v>-2.5</v>
      </c>
    </row>
    <row r="5" spans="1:19" x14ac:dyDescent="0.3">
      <c r="H5" s="5" t="s">
        <v>144</v>
      </c>
      <c r="I5" s="23"/>
      <c r="J5" s="15"/>
      <c r="K5" s="8">
        <v>15</v>
      </c>
      <c r="L5" s="26">
        <f t="shared" si="0"/>
        <v>15</v>
      </c>
    </row>
    <row r="6" spans="1:19" x14ac:dyDescent="0.3">
      <c r="H6" s="5" t="s">
        <v>144</v>
      </c>
      <c r="I6" s="23"/>
      <c r="J6" s="15">
        <v>100</v>
      </c>
      <c r="L6" s="26">
        <f t="shared" si="0"/>
        <v>1.1111111111111112</v>
      </c>
    </row>
    <row r="7" spans="1:19" x14ac:dyDescent="0.3">
      <c r="H7" s="5" t="s">
        <v>144</v>
      </c>
      <c r="I7" s="24"/>
      <c r="J7" s="15">
        <v>360</v>
      </c>
      <c r="L7" s="26">
        <f t="shared" si="0"/>
        <v>4</v>
      </c>
    </row>
    <row r="8" spans="1:19" x14ac:dyDescent="0.3">
      <c r="H8" s="5" t="s">
        <v>144</v>
      </c>
      <c r="I8" s="23"/>
      <c r="J8" s="15"/>
      <c r="K8" s="8">
        <v>10</v>
      </c>
      <c r="L8" s="26">
        <f t="shared" si="0"/>
        <v>10</v>
      </c>
    </row>
    <row r="9" spans="1:19" x14ac:dyDescent="0.3">
      <c r="H9" s="2" t="s">
        <v>144</v>
      </c>
      <c r="I9" s="23"/>
      <c r="J9" s="15">
        <v>50</v>
      </c>
      <c r="K9" s="8">
        <v>5</v>
      </c>
      <c r="L9" s="26">
        <f t="shared" si="0"/>
        <v>5.5555555555555554</v>
      </c>
    </row>
    <row r="10" spans="1:19" x14ac:dyDescent="0.3">
      <c r="H10" s="2" t="s">
        <v>144</v>
      </c>
      <c r="I10" s="23" t="s">
        <v>148</v>
      </c>
      <c r="J10" s="15"/>
      <c r="K10" s="8">
        <v>35</v>
      </c>
      <c r="L10" s="26">
        <f t="shared" si="0"/>
        <v>35</v>
      </c>
    </row>
    <row r="11" spans="1:19" x14ac:dyDescent="0.3">
      <c r="I11" s="23"/>
      <c r="J11" s="15"/>
      <c r="L11" s="26">
        <f t="shared" si="0"/>
        <v>0</v>
      </c>
    </row>
    <row r="13" spans="1:19" x14ac:dyDescent="0.3">
      <c r="A13" s="48" t="s">
        <v>19</v>
      </c>
      <c r="B13" s="48"/>
      <c r="C13" s="48"/>
      <c r="D13" s="48"/>
      <c r="E13" s="48"/>
      <c r="F13" s="48"/>
      <c r="I13" s="21" t="s">
        <v>22</v>
      </c>
      <c r="J13" s="7">
        <f>SUM(Table13456781011121314151617181920212223242526[اللبناني])</f>
        <v>-70</v>
      </c>
      <c r="K13" s="7">
        <f>SUM(Table13456781011121314151617181920212223242526[الدولار])</f>
        <v>-86</v>
      </c>
      <c r="L13" s="7">
        <f>SUM(Table13456781011121314151617181920212223242526[مبيع $])</f>
        <v>-86.777777777777771</v>
      </c>
      <c r="N13" s="48" t="s">
        <v>21</v>
      </c>
      <c r="O13" s="48"/>
      <c r="P13" s="48"/>
      <c r="Q13" s="48"/>
      <c r="R13" s="48"/>
      <c r="S13" s="48"/>
    </row>
    <row r="14" spans="1:19" x14ac:dyDescent="0.3">
      <c r="A14" s="1" t="s">
        <v>2</v>
      </c>
      <c r="B14" s="1" t="s">
        <v>0</v>
      </c>
      <c r="C14" s="1" t="s">
        <v>1</v>
      </c>
      <c r="D14" s="1" t="s">
        <v>3</v>
      </c>
      <c r="E14" s="1" t="s">
        <v>0</v>
      </c>
      <c r="F14" s="1" t="s">
        <v>1</v>
      </c>
      <c r="H14" s="2" t="s">
        <v>136</v>
      </c>
      <c r="I14" s="22" t="s">
        <v>6</v>
      </c>
      <c r="J14" s="3" t="s">
        <v>5</v>
      </c>
      <c r="K14" s="9" t="s">
        <v>4</v>
      </c>
      <c r="L14" s="9" t="s">
        <v>125</v>
      </c>
      <c r="M14" s="2"/>
      <c r="N14" s="1" t="s">
        <v>2</v>
      </c>
      <c r="O14" s="1" t="s">
        <v>0</v>
      </c>
      <c r="P14" s="1" t="s">
        <v>1</v>
      </c>
      <c r="Q14" s="1" t="s">
        <v>3</v>
      </c>
      <c r="R14" s="1" t="s">
        <v>0</v>
      </c>
      <c r="S14" s="1" t="s">
        <v>1</v>
      </c>
    </row>
    <row r="15" spans="1:19" x14ac:dyDescent="0.3">
      <c r="A15" s="11">
        <v>1</v>
      </c>
      <c r="C15" s="16">
        <f>A15*B15</f>
        <v>0</v>
      </c>
      <c r="D15" s="12">
        <v>5</v>
      </c>
      <c r="E15" s="2">
        <v>42</v>
      </c>
      <c r="F15" s="18">
        <f>D15*E15</f>
        <v>210</v>
      </c>
      <c r="G15" s="5"/>
      <c r="H15" s="2" t="s">
        <v>144</v>
      </c>
      <c r="I15" s="23" t="s">
        <v>149</v>
      </c>
      <c r="J15" s="15"/>
      <c r="K15" s="8">
        <v>40</v>
      </c>
      <c r="L15" s="26">
        <f>Table13456781011121314151617181920212223242526[[#This Row],[الدولار]]+(Table13456781011121314151617181920212223242526[[#This Row],[اللبناني]]/90)</f>
        <v>40</v>
      </c>
      <c r="N15" s="11">
        <v>1</v>
      </c>
      <c r="P15" s="16">
        <f>N15*O15</f>
        <v>0</v>
      </c>
      <c r="Q15" s="12">
        <v>5</v>
      </c>
      <c r="R15" s="2">
        <v>31</v>
      </c>
      <c r="S15" s="18">
        <f>Q15*R15</f>
        <v>155</v>
      </c>
    </row>
    <row r="16" spans="1:19" x14ac:dyDescent="0.3">
      <c r="A16" s="11">
        <v>5</v>
      </c>
      <c r="B16" s="2">
        <v>5</v>
      </c>
      <c r="C16" s="16">
        <f t="shared" ref="C16:C20" si="1">A16*B16</f>
        <v>25</v>
      </c>
      <c r="D16" s="12">
        <v>10</v>
      </c>
      <c r="E16" s="2">
        <v>24</v>
      </c>
      <c r="F16" s="18">
        <f t="shared" ref="F16:F19" si="2">D16*E16</f>
        <v>240</v>
      </c>
      <c r="G16" s="5"/>
      <c r="H16" s="2" t="s">
        <v>144</v>
      </c>
      <c r="I16" s="23" t="s">
        <v>138</v>
      </c>
      <c r="J16" s="15">
        <v>200</v>
      </c>
      <c r="K16" s="8">
        <v>25</v>
      </c>
      <c r="L16" s="26">
        <f>Table13456781011121314151617181920212223242526[[#This Row],[الدولار]]+(Table13456781011121314151617181920212223242526[[#This Row],[اللبناني]]/90)</f>
        <v>27.222222222222221</v>
      </c>
      <c r="N16" s="11">
        <v>5</v>
      </c>
      <c r="O16" s="2">
        <v>7</v>
      </c>
      <c r="P16" s="16">
        <f t="shared" ref="P16:P20" si="3">N16*O16</f>
        <v>35</v>
      </c>
      <c r="Q16" s="12">
        <v>10</v>
      </c>
      <c r="R16" s="2">
        <v>24</v>
      </c>
      <c r="S16" s="18">
        <f t="shared" ref="S16:S19" si="4">Q16*R16</f>
        <v>240</v>
      </c>
    </row>
    <row r="17" spans="1:19" x14ac:dyDescent="0.3">
      <c r="A17" s="11">
        <v>10</v>
      </c>
      <c r="B17" s="2">
        <v>55</v>
      </c>
      <c r="C17" s="16">
        <f t="shared" si="1"/>
        <v>550</v>
      </c>
      <c r="D17" s="12">
        <v>20</v>
      </c>
      <c r="E17" s="2">
        <v>2</v>
      </c>
      <c r="F17" s="18">
        <f t="shared" si="2"/>
        <v>40</v>
      </c>
      <c r="G17" s="5"/>
      <c r="H17" s="2" t="s">
        <v>144</v>
      </c>
      <c r="I17" s="23" t="s">
        <v>63</v>
      </c>
      <c r="J17" s="15">
        <v>200</v>
      </c>
      <c r="L17" s="26">
        <f>Table13456781011121314151617181920212223242526[[#This Row],[الدولار]]+(Table13456781011121314151617181920212223242526[[#This Row],[اللبناني]]/90)</f>
        <v>2.2222222222222223</v>
      </c>
      <c r="N17" s="11">
        <v>10</v>
      </c>
      <c r="O17" s="2">
        <v>56</v>
      </c>
      <c r="P17" s="16">
        <f t="shared" si="3"/>
        <v>560</v>
      </c>
      <c r="Q17" s="12">
        <v>20</v>
      </c>
      <c r="R17" s="2">
        <v>3</v>
      </c>
      <c r="S17" s="18">
        <f t="shared" si="4"/>
        <v>60</v>
      </c>
    </row>
    <row r="18" spans="1:19" x14ac:dyDescent="0.3">
      <c r="A18" s="11">
        <v>20</v>
      </c>
      <c r="B18" s="2">
        <v>16</v>
      </c>
      <c r="C18" s="16">
        <f t="shared" si="1"/>
        <v>320</v>
      </c>
      <c r="D18" s="12">
        <v>50</v>
      </c>
      <c r="E18" s="2">
        <v>5</v>
      </c>
      <c r="F18" s="18">
        <f t="shared" si="2"/>
        <v>250</v>
      </c>
      <c r="G18" s="5"/>
      <c r="H18" s="2" t="s">
        <v>144</v>
      </c>
      <c r="I18" s="23" t="s">
        <v>150</v>
      </c>
      <c r="J18" s="15"/>
      <c r="K18" s="8">
        <v>67</v>
      </c>
      <c r="L18" s="26">
        <f>Table13456781011121314151617181920212223242526[[#This Row],[الدولار]]+(Table13456781011121314151617181920212223242526[[#This Row],[اللبناني]]/90)</f>
        <v>67</v>
      </c>
      <c r="N18" s="11">
        <v>20</v>
      </c>
      <c r="O18" s="2">
        <v>23</v>
      </c>
      <c r="P18" s="16">
        <f t="shared" si="3"/>
        <v>460</v>
      </c>
      <c r="Q18" s="12">
        <v>50</v>
      </c>
      <c r="R18" s="2">
        <v>2</v>
      </c>
      <c r="S18" s="18">
        <f t="shared" si="4"/>
        <v>100</v>
      </c>
    </row>
    <row r="19" spans="1:19" x14ac:dyDescent="0.3">
      <c r="A19" s="11">
        <v>50</v>
      </c>
      <c r="B19" s="2">
        <v>3</v>
      </c>
      <c r="C19" s="16">
        <f t="shared" si="1"/>
        <v>150</v>
      </c>
      <c r="D19" s="12">
        <v>100</v>
      </c>
      <c r="E19" s="2">
        <v>15</v>
      </c>
      <c r="F19" s="18">
        <f t="shared" si="2"/>
        <v>1500</v>
      </c>
      <c r="G19" s="5"/>
      <c r="H19" s="2" t="s">
        <v>146</v>
      </c>
      <c r="I19" s="24" t="s">
        <v>13</v>
      </c>
      <c r="J19" s="15"/>
      <c r="K19" s="8">
        <v>10</v>
      </c>
      <c r="L19" s="26">
        <f>Table13456781011121314151617181920212223242526[[#This Row],[الدولار]]+(Table13456781011121314151617181920212223242526[[#This Row],[اللبناني]]/90)</f>
        <v>10</v>
      </c>
      <c r="N19" s="11">
        <v>50</v>
      </c>
      <c r="O19" s="2">
        <v>6</v>
      </c>
      <c r="P19" s="16">
        <f t="shared" si="3"/>
        <v>300</v>
      </c>
      <c r="Q19" s="12">
        <v>100</v>
      </c>
      <c r="R19" s="2">
        <v>31</v>
      </c>
      <c r="S19" s="18">
        <f t="shared" si="4"/>
        <v>3100</v>
      </c>
    </row>
    <row r="20" spans="1:19" x14ac:dyDescent="0.3">
      <c r="A20" s="11">
        <v>100</v>
      </c>
      <c r="B20" s="2">
        <v>1</v>
      </c>
      <c r="C20" s="16">
        <f t="shared" si="1"/>
        <v>100</v>
      </c>
      <c r="D20" s="1" t="s">
        <v>1</v>
      </c>
      <c r="E20" s="1"/>
      <c r="F20" s="14">
        <f>SUM(F15:F19)</f>
        <v>2240</v>
      </c>
      <c r="G20" s="5"/>
      <c r="H20" s="2" t="s">
        <v>145</v>
      </c>
      <c r="I20" s="23" t="s">
        <v>151</v>
      </c>
      <c r="J20" s="15"/>
      <c r="K20" s="8">
        <v>-10</v>
      </c>
      <c r="L20" s="26">
        <f>Table13456781011121314151617181920212223242526[[#This Row],[الدولار]]+(Table13456781011121314151617181920212223242526[[#This Row],[اللبناني]]/90)</f>
        <v>-10</v>
      </c>
      <c r="N20" s="11">
        <v>100</v>
      </c>
      <c r="O20" s="2">
        <v>3</v>
      </c>
      <c r="P20" s="16">
        <f t="shared" si="3"/>
        <v>300</v>
      </c>
      <c r="Q20" s="1" t="s">
        <v>1</v>
      </c>
      <c r="R20" s="1"/>
      <c r="S20" s="14">
        <f>SUM(S15:S19)</f>
        <v>3655</v>
      </c>
    </row>
    <row r="21" spans="1:19" x14ac:dyDescent="0.3">
      <c r="A21" s="1" t="s">
        <v>1</v>
      </c>
      <c r="B21" s="1"/>
      <c r="C21" s="17">
        <f>SUM(C15:C20)</f>
        <v>1145</v>
      </c>
      <c r="H21" s="2" t="s">
        <v>144</v>
      </c>
      <c r="I21" s="23" t="s">
        <v>129</v>
      </c>
      <c r="J21" s="15"/>
      <c r="K21" s="8">
        <v>3</v>
      </c>
      <c r="L21" s="26">
        <f>Table13456781011121314151617181920212223242526[[#This Row],[الدولار]]+(Table13456781011121314151617181920212223242526[[#This Row],[اللبناني]]/90)</f>
        <v>3</v>
      </c>
      <c r="N21" s="1" t="s">
        <v>1</v>
      </c>
      <c r="O21" s="1"/>
      <c r="P21" s="17">
        <f>SUM(P15:P20)</f>
        <v>1655</v>
      </c>
      <c r="S21" s="15"/>
    </row>
    <row r="22" spans="1:19" x14ac:dyDescent="0.3">
      <c r="H22" s="2" t="s">
        <v>144</v>
      </c>
      <c r="I22" s="23" t="s">
        <v>48</v>
      </c>
      <c r="J22" s="15">
        <v>270</v>
      </c>
      <c r="L22" s="26">
        <f>Table13456781011121314151617181920212223242526[[#This Row],[الدولار]]+(Table13456781011121314151617181920212223242526[[#This Row],[اللبناني]]/90)</f>
        <v>3</v>
      </c>
      <c r="P22" s="20"/>
      <c r="Q22" s="47" t="s">
        <v>24</v>
      </c>
      <c r="R22" s="47"/>
      <c r="S22" s="19">
        <f>SUM(Table13456781011121314151617181920212223242526[اللبناني])</f>
        <v>-70</v>
      </c>
    </row>
    <row r="23" spans="1:19" x14ac:dyDescent="0.3">
      <c r="H23" s="2" t="s">
        <v>144</v>
      </c>
      <c r="I23" s="23" t="s">
        <v>152</v>
      </c>
      <c r="J23" s="15">
        <v>-180</v>
      </c>
      <c r="K23" s="8">
        <v>20</v>
      </c>
      <c r="L23" s="26">
        <f>Table13456781011121314151617181920212223242526[[#This Row],[الدولار]]+(Table13456781011121314151617181920212223242526[[#This Row],[اللبناني]]/90)</f>
        <v>18</v>
      </c>
      <c r="N23" s="47" t="s">
        <v>23</v>
      </c>
      <c r="O23" s="47"/>
      <c r="P23" s="9">
        <f>SUM(Table13456781011121314151617181920212223242526[الدولار])</f>
        <v>-86</v>
      </c>
      <c r="S23" s="15"/>
    </row>
    <row r="24" spans="1:19" x14ac:dyDescent="0.3">
      <c r="H24" s="2" t="s">
        <v>144</v>
      </c>
      <c r="I24" s="23" t="s">
        <v>153</v>
      </c>
      <c r="J24" s="15">
        <v>-180</v>
      </c>
      <c r="K24" s="8">
        <v>50</v>
      </c>
      <c r="L24" s="26">
        <f>Table13456781011121314151617181920212223242526[[#This Row],[الدولار]]+(Table13456781011121314151617181920212223242526[[#This Row],[اللبناني]]/90)</f>
        <v>48</v>
      </c>
      <c r="P24" s="20"/>
      <c r="Q24" s="1" t="s">
        <v>17</v>
      </c>
      <c r="R24" s="1"/>
      <c r="S24" s="19">
        <f>S20-S22-F20</f>
        <v>1485</v>
      </c>
    </row>
    <row r="25" spans="1:19" x14ac:dyDescent="0.3">
      <c r="C25" s="10"/>
      <c r="D25" s="10"/>
      <c r="F25" s="10"/>
      <c r="H25" s="2" t="s">
        <v>144</v>
      </c>
      <c r="I25" s="23" t="s">
        <v>154</v>
      </c>
      <c r="J25" s="15">
        <v>-300</v>
      </c>
      <c r="K25" s="8">
        <v>10</v>
      </c>
      <c r="L25" s="26">
        <f>Table13456781011121314151617181920212223242526[[#This Row],[الدولار]]+(Table13456781011121314151617181920212223242526[[#This Row],[اللبناني]]/90)</f>
        <v>6.6666666666666661</v>
      </c>
      <c r="N25" s="1" t="s">
        <v>17</v>
      </c>
      <c r="O25" s="1"/>
      <c r="P25" s="9">
        <f>P21-P23-C21</f>
        <v>596</v>
      </c>
    </row>
    <row r="26" spans="1:19" x14ac:dyDescent="0.3">
      <c r="C26" s="10"/>
      <c r="D26" s="10"/>
      <c r="F26" s="10"/>
      <c r="H26" s="2" t="s">
        <v>144</v>
      </c>
      <c r="I26" s="25" t="s">
        <v>155</v>
      </c>
      <c r="J26" s="13">
        <v>25</v>
      </c>
      <c r="L26" s="26">
        <f>Table13456781011121314151617181920212223242526[[#This Row],[الدولار]]+(Table13456781011121314151617181920212223242526[[#This Row],[اللبناني]]/90)</f>
        <v>0.27777777777777779</v>
      </c>
    </row>
    <row r="27" spans="1:19" x14ac:dyDescent="0.3">
      <c r="C27" s="10"/>
      <c r="D27" s="10"/>
      <c r="F27" s="10"/>
      <c r="H27" s="2" t="s">
        <v>144</v>
      </c>
      <c r="I27" s="25" t="s">
        <v>157</v>
      </c>
      <c r="J27" s="13">
        <v>400</v>
      </c>
      <c r="K27" s="8">
        <v>50</v>
      </c>
      <c r="L27" s="26">
        <f>Table13456781011121314151617181920212223242526[[#This Row],[الدولار]]+(Table13456781011121314151617181920212223242526[[#This Row],[اللبناني]]/90)</f>
        <v>54.444444444444443</v>
      </c>
    </row>
    <row r="28" spans="1:19" x14ac:dyDescent="0.3">
      <c r="C28" s="10"/>
      <c r="D28" s="10"/>
      <c r="F28" s="10"/>
      <c r="H28" s="2" t="s">
        <v>144</v>
      </c>
      <c r="I28" s="23" t="s">
        <v>158</v>
      </c>
      <c r="J28" s="13"/>
      <c r="K28" s="8">
        <v>65</v>
      </c>
      <c r="L28" s="26">
        <f>Table13456781011121314151617181920212223242526[[#This Row],[الدولار]]+(Table13456781011121314151617181920212223242526[[#This Row],[اللبناني]]/90)</f>
        <v>65</v>
      </c>
    </row>
    <row r="29" spans="1:19" s="8" customFormat="1" x14ac:dyDescent="0.3">
      <c r="C29" s="10"/>
      <c r="D29" s="10"/>
      <c r="E29" s="2"/>
      <c r="F29" s="10"/>
      <c r="G29" s="2"/>
      <c r="H29" s="2" t="s">
        <v>144</v>
      </c>
      <c r="I29" s="25" t="s">
        <v>148</v>
      </c>
      <c r="J29" s="15"/>
      <c r="K29" s="8">
        <v>57</v>
      </c>
      <c r="L29" s="26">
        <f>Table13456781011121314151617181920212223242526[[#This Row],[الدولار]]+(Table13456781011121314151617181920212223242526[[#This Row],[اللبناني]]/90)</f>
        <v>57</v>
      </c>
      <c r="M29" s="6"/>
    </row>
    <row r="30" spans="1:19" s="8" customFormat="1" x14ac:dyDescent="0.3">
      <c r="C30" s="10"/>
      <c r="D30" s="2"/>
      <c r="E30" s="2"/>
      <c r="F30" s="10"/>
      <c r="G30" s="2"/>
      <c r="H30" s="2" t="s">
        <v>144</v>
      </c>
      <c r="I30" s="25" t="s">
        <v>148</v>
      </c>
      <c r="J30" s="15"/>
      <c r="K30" s="8">
        <v>55</v>
      </c>
      <c r="L30" s="26">
        <f>Table13456781011121314151617181920212223242526[[#This Row],[الدولار]]+(Table13456781011121314151617181920212223242526[[#This Row],[اللبناني]]/90)</f>
        <v>55</v>
      </c>
      <c r="M30" s="6"/>
    </row>
    <row r="31" spans="1:19" s="8" customFormat="1" x14ac:dyDescent="0.3">
      <c r="C31" s="10"/>
      <c r="D31" s="2"/>
      <c r="E31" s="2"/>
      <c r="F31" s="2"/>
      <c r="G31" s="2"/>
      <c r="H31" s="2" t="s">
        <v>146</v>
      </c>
      <c r="I31" s="25" t="s">
        <v>159</v>
      </c>
      <c r="J31" s="15"/>
      <c r="K31" s="8">
        <v>-112</v>
      </c>
      <c r="L31" s="26">
        <f>Table13456781011121314151617181920212223242526[[#This Row],[الدولار]]+(Table13456781011121314151617181920212223242526[[#This Row],[اللبناني]]/90)</f>
        <v>-112</v>
      </c>
      <c r="M31" s="6"/>
    </row>
    <row r="32" spans="1:19" s="8" customFormat="1" x14ac:dyDescent="0.3">
      <c r="C32" s="2"/>
      <c r="D32" s="2"/>
      <c r="E32" s="2"/>
      <c r="F32" s="6"/>
      <c r="G32" s="2"/>
      <c r="H32" s="2" t="s">
        <v>144</v>
      </c>
      <c r="I32" s="23" t="s">
        <v>160</v>
      </c>
      <c r="J32" s="15"/>
      <c r="K32" s="8">
        <v>80</v>
      </c>
      <c r="L32" s="26">
        <f>Table13456781011121314151617181920212223242526[[#This Row],[الدولار]]+(Table13456781011121314151617181920212223242526[[#This Row],[اللبناني]]/90)</f>
        <v>80</v>
      </c>
      <c r="M32" s="6"/>
    </row>
    <row r="33" spans="3:13" s="8" customFormat="1" x14ac:dyDescent="0.3">
      <c r="C33" s="6"/>
      <c r="D33" s="2"/>
      <c r="E33" s="2"/>
      <c r="F33" s="2"/>
      <c r="G33" s="2"/>
      <c r="H33" s="2" t="s">
        <v>144</v>
      </c>
      <c r="I33" s="23" t="s">
        <v>161</v>
      </c>
      <c r="J33" s="15">
        <v>400</v>
      </c>
      <c r="K33" s="8">
        <v>20</v>
      </c>
      <c r="L33" s="26">
        <f>Table13456781011121314151617181920212223242526[[#This Row],[الدولار]]+(Table13456781011121314151617181920212223242526[[#This Row],[اللبناني]]/90)</f>
        <v>24.444444444444443</v>
      </c>
      <c r="M33" s="6"/>
    </row>
    <row r="34" spans="3:13" s="8" customFormat="1" x14ac:dyDescent="0.3">
      <c r="C34" s="2"/>
      <c r="D34" s="2"/>
      <c r="E34" s="2"/>
      <c r="F34" s="6"/>
      <c r="G34" s="2"/>
      <c r="H34" s="2" t="s">
        <v>144</v>
      </c>
      <c r="I34" s="23" t="s">
        <v>162</v>
      </c>
      <c r="J34" s="15">
        <v>-180</v>
      </c>
      <c r="K34" s="8">
        <v>15</v>
      </c>
      <c r="L34" s="26">
        <f>Table13456781011121314151617181920212223242526[[#This Row],[الدولار]]+(Table13456781011121314151617181920212223242526[[#This Row],[اللبناني]]/90)</f>
        <v>13</v>
      </c>
      <c r="M34" s="6"/>
    </row>
    <row r="35" spans="3:13" s="8" customFormat="1" x14ac:dyDescent="0.3">
      <c r="C35" s="6"/>
      <c r="D35" s="2"/>
      <c r="E35" s="2"/>
      <c r="F35" s="2"/>
      <c r="G35" s="2"/>
      <c r="H35" s="2" t="s">
        <v>144</v>
      </c>
      <c r="I35" s="23" t="s">
        <v>96</v>
      </c>
      <c r="J35" s="15">
        <v>150</v>
      </c>
      <c r="L35" s="26">
        <f>Table13456781011121314151617181920212223242526[[#This Row],[الدولار]]+(Table13456781011121314151617181920212223242526[[#This Row],[اللبناني]]/90)</f>
        <v>1.6666666666666667</v>
      </c>
      <c r="M35" s="6"/>
    </row>
    <row r="36" spans="3:13" s="8" customFormat="1" x14ac:dyDescent="0.3">
      <c r="C36" s="2"/>
      <c r="D36" s="2"/>
      <c r="E36" s="2"/>
      <c r="F36" s="2"/>
      <c r="G36" s="2"/>
      <c r="H36" s="2" t="s">
        <v>144</v>
      </c>
      <c r="I36" s="23" t="s">
        <v>163</v>
      </c>
      <c r="J36" s="15"/>
      <c r="K36" s="8">
        <v>10</v>
      </c>
      <c r="L36" s="26">
        <f>Table13456781011121314151617181920212223242526[[#This Row],[الدولار]]+(Table13456781011121314151617181920212223242526[[#This Row],[اللبناني]]/90)</f>
        <v>10</v>
      </c>
      <c r="M36" s="6"/>
    </row>
    <row r="37" spans="3:13" s="8" customFormat="1" x14ac:dyDescent="0.3">
      <c r="C37" s="2"/>
      <c r="D37" s="2"/>
      <c r="E37" s="2"/>
      <c r="F37" s="2"/>
      <c r="G37" s="2"/>
      <c r="H37" s="2" t="s">
        <v>144</v>
      </c>
      <c r="I37" s="23" t="s">
        <v>80</v>
      </c>
      <c r="J37" s="15">
        <v>170</v>
      </c>
      <c r="L37" s="26">
        <f>Table13456781011121314151617181920212223242526[[#This Row],[الدولار]]+(Table13456781011121314151617181920212223242526[[#This Row],[اللبناني]]/90)</f>
        <v>1.8888888888888888</v>
      </c>
      <c r="M37" s="6"/>
    </row>
    <row r="38" spans="3:13" s="8" customFormat="1" x14ac:dyDescent="0.3">
      <c r="C38" s="2"/>
      <c r="D38" s="2"/>
      <c r="E38" s="2"/>
      <c r="F38" s="2"/>
      <c r="G38" s="2"/>
      <c r="H38" s="2" t="s">
        <v>144</v>
      </c>
      <c r="I38" s="23" t="s">
        <v>164</v>
      </c>
      <c r="J38" s="15">
        <v>-400</v>
      </c>
      <c r="K38" s="8">
        <v>10</v>
      </c>
      <c r="L38" s="26">
        <f>Table13456781011121314151617181920212223242526[[#This Row],[الدولار]]+(Table13456781011121314151617181920212223242526[[#This Row],[اللبناني]]/90)</f>
        <v>5.5555555555555554</v>
      </c>
      <c r="M38" s="6"/>
    </row>
    <row r="39" spans="3:13" s="8" customFormat="1" x14ac:dyDescent="0.3">
      <c r="C39" s="2"/>
      <c r="D39" s="2"/>
      <c r="E39" s="2"/>
      <c r="F39" s="2"/>
      <c r="G39" s="2"/>
      <c r="H39" s="2" t="s">
        <v>144</v>
      </c>
      <c r="I39" s="23" t="s">
        <v>94</v>
      </c>
      <c r="J39" s="13">
        <v>-90</v>
      </c>
      <c r="K39" s="8">
        <v>5</v>
      </c>
      <c r="L39" s="26">
        <f>Table13456781011121314151617181920212223242526[[#This Row],[الدولار]]+(Table13456781011121314151617181920212223242526[[#This Row],[اللبناني]]/90)</f>
        <v>4</v>
      </c>
      <c r="M39" s="6"/>
    </row>
    <row r="40" spans="3:13" s="8" customFormat="1" x14ac:dyDescent="0.3">
      <c r="C40" s="2"/>
      <c r="D40" s="2"/>
      <c r="E40" s="2"/>
      <c r="F40" s="2"/>
      <c r="G40" s="2"/>
      <c r="H40" s="2" t="s">
        <v>145</v>
      </c>
      <c r="I40" s="21"/>
      <c r="J40" s="13">
        <v>-600</v>
      </c>
      <c r="L40" s="26">
        <f>Table13456781011121314151617181920212223242526[[#This Row],[الدولار]]+(Table13456781011121314151617181920212223242526[[#This Row],[اللبناني]]/90)</f>
        <v>-6.666666666666667</v>
      </c>
      <c r="M40" s="6"/>
    </row>
    <row r="41" spans="3:13" s="8" customFormat="1" x14ac:dyDescent="0.3">
      <c r="C41" s="2"/>
      <c r="D41" s="2"/>
      <c r="E41" s="2"/>
      <c r="F41" s="2"/>
      <c r="G41" s="2"/>
      <c r="H41" s="2" t="s">
        <v>144</v>
      </c>
      <c r="I41" s="21" t="s">
        <v>165</v>
      </c>
      <c r="J41" s="13">
        <v>900</v>
      </c>
      <c r="L41" s="26">
        <f>Table13456781011121314151617181920212223242526[[#This Row],[الدولار]]+(Table13456781011121314151617181920212223242526[[#This Row],[اللبناني]]/90)</f>
        <v>10</v>
      </c>
      <c r="M41" s="6"/>
    </row>
    <row r="42" spans="3:13" s="8" customFormat="1" x14ac:dyDescent="0.3">
      <c r="C42" s="2"/>
      <c r="D42" s="2"/>
      <c r="E42" s="2"/>
      <c r="F42" s="2"/>
      <c r="G42" s="2"/>
      <c r="H42" s="2" t="s">
        <v>144</v>
      </c>
      <c r="I42" s="21"/>
      <c r="J42" s="13">
        <v>350</v>
      </c>
      <c r="K42" s="8">
        <v>20</v>
      </c>
      <c r="L42" s="26">
        <f>Table13456781011121314151617181920212223242526[[#This Row],[الدولار]]+(Table13456781011121314151617181920212223242526[[#This Row],[اللبناني]]/90)</f>
        <v>23.888888888888889</v>
      </c>
      <c r="M42" s="6"/>
    </row>
    <row r="43" spans="3:13" s="8" customFormat="1" x14ac:dyDescent="0.3">
      <c r="C43" s="2"/>
      <c r="D43" s="2"/>
      <c r="E43" s="2"/>
      <c r="F43" s="2"/>
      <c r="G43" s="2"/>
      <c r="H43" s="2" t="s">
        <v>144</v>
      </c>
      <c r="I43" s="21"/>
      <c r="J43" s="13">
        <v>60</v>
      </c>
      <c r="L43" s="26">
        <f>Table13456781011121314151617181920212223242526[[#This Row],[الدولار]]+(Table13456781011121314151617181920212223242526[[#This Row],[اللبناني]]/90)</f>
        <v>0.66666666666666663</v>
      </c>
      <c r="M43" s="6"/>
    </row>
    <row r="44" spans="3:13" s="8" customFormat="1" x14ac:dyDescent="0.3">
      <c r="C44" s="2"/>
      <c r="D44" s="2"/>
      <c r="E44" s="2"/>
      <c r="F44" s="2"/>
      <c r="G44" s="2"/>
      <c r="H44" s="2" t="s">
        <v>144</v>
      </c>
      <c r="I44" s="21" t="s">
        <v>66</v>
      </c>
      <c r="J44" s="13"/>
      <c r="K44" s="8">
        <v>10</v>
      </c>
      <c r="L44" s="26">
        <f>Table13456781011121314151617181920212223242526[[#This Row],[الدولار]]+(Table13456781011121314151617181920212223242526[[#This Row],[اللبناني]]/90)</f>
        <v>10</v>
      </c>
      <c r="M44" s="6"/>
    </row>
    <row r="45" spans="3:13" s="8" customFormat="1" x14ac:dyDescent="0.3">
      <c r="H45" s="2" t="s">
        <v>144</v>
      </c>
      <c r="I45" s="21" t="s">
        <v>166</v>
      </c>
      <c r="J45" s="13">
        <v>50</v>
      </c>
      <c r="L45" s="26">
        <f>Table13456781011121314151617181920212223242526[[#This Row],[الدولار]]+(Table13456781011121314151617181920212223242526[[#This Row],[اللبناني]]/90)</f>
        <v>0.55555555555555558</v>
      </c>
      <c r="M45" s="6"/>
    </row>
    <row r="46" spans="3:13" s="8" customFormat="1" x14ac:dyDescent="0.3">
      <c r="H46" s="2" t="s">
        <v>144</v>
      </c>
      <c r="I46" s="21"/>
      <c r="J46" s="13"/>
      <c r="K46" s="8">
        <v>15</v>
      </c>
      <c r="L46" s="26">
        <f>Table13456781011121314151617181920212223242526[[#This Row],[الدولار]]+(Table13456781011121314151617181920212223242526[[#This Row],[اللبناني]]/90)</f>
        <v>15</v>
      </c>
      <c r="M46" s="6"/>
    </row>
    <row r="47" spans="3:13" s="8" customFormat="1" x14ac:dyDescent="0.3">
      <c r="H47" s="2" t="s">
        <v>144</v>
      </c>
      <c r="I47" s="21"/>
      <c r="J47" s="13">
        <v>500</v>
      </c>
      <c r="L47" s="26">
        <f>Table13456781011121314151617181920212223242526[[#This Row],[الدولار]]+(Table13456781011121314151617181920212223242526[[#This Row],[اللبناني]]/90)</f>
        <v>5.5555555555555554</v>
      </c>
      <c r="M47" s="6"/>
    </row>
    <row r="48" spans="3:13" s="8" customFormat="1" x14ac:dyDescent="0.3">
      <c r="H48" s="2" t="s">
        <v>144</v>
      </c>
      <c r="I48" s="21"/>
      <c r="J48" s="13"/>
      <c r="K48" s="8">
        <v>5</v>
      </c>
      <c r="L48" s="26">
        <f>Table13456781011121314151617181920212223242526[[#This Row],[الدولار]]+(Table13456781011121314151617181920212223242526[[#This Row],[اللبناني]]/90)</f>
        <v>5</v>
      </c>
      <c r="M48" s="6"/>
    </row>
    <row r="49" spans="8:14" s="8" customFormat="1" x14ac:dyDescent="0.3">
      <c r="H49" s="2" t="s">
        <v>144</v>
      </c>
      <c r="I49" s="21"/>
      <c r="J49" s="13"/>
      <c r="K49" s="8">
        <v>5</v>
      </c>
      <c r="L49" s="26">
        <f>Table13456781011121314151617181920212223242526[[#This Row],[الدولار]]+(Table13456781011121314151617181920212223242526[[#This Row],[اللبناني]]/90)</f>
        <v>5</v>
      </c>
      <c r="M49" s="6"/>
    </row>
    <row r="50" spans="8:14" s="8" customFormat="1" x14ac:dyDescent="0.3">
      <c r="H50" s="2" t="s">
        <v>144</v>
      </c>
      <c r="I50" s="21"/>
      <c r="J50" s="13">
        <v>-360</v>
      </c>
      <c r="L50" s="26">
        <f>Table13456781011121314151617181920212223242526[[#This Row],[الدولار]]+(Table13456781011121314151617181920212223242526[[#This Row],[اللبناني]]/90)</f>
        <v>-4</v>
      </c>
      <c r="M50" s="6"/>
    </row>
    <row r="51" spans="8:14" s="8" customFormat="1" x14ac:dyDescent="0.3">
      <c r="H51" s="2" t="s">
        <v>144</v>
      </c>
      <c r="I51" s="21"/>
      <c r="J51" s="13">
        <v>150</v>
      </c>
      <c r="L51" s="26">
        <f>Table13456781011121314151617181920212223242526[[#This Row],[الدولار]]+(Table13456781011121314151617181920212223242526[[#This Row],[اللبناني]]/90)</f>
        <v>1.6666666666666667</v>
      </c>
      <c r="M51" s="6"/>
    </row>
    <row r="52" spans="8:14" s="8" customFormat="1" x14ac:dyDescent="0.3">
      <c r="H52" s="2" t="s">
        <v>144</v>
      </c>
      <c r="I52" s="21" t="s">
        <v>62</v>
      </c>
      <c r="J52" s="13">
        <v>-120</v>
      </c>
      <c r="K52" s="8">
        <v>-15</v>
      </c>
      <c r="L52" s="26">
        <f>Table13456781011121314151617181920212223242526[[#This Row],[الدولار]]+(Table13456781011121314151617181920212223242526[[#This Row],[اللبناني]]/90)</f>
        <v>-16.333333333333332</v>
      </c>
      <c r="M52" s="6"/>
      <c r="N52" s="8" t="s">
        <v>57</v>
      </c>
    </row>
    <row r="53" spans="8:14" s="8" customFormat="1" x14ac:dyDescent="0.3">
      <c r="H53" s="2" t="s">
        <v>144</v>
      </c>
      <c r="I53" s="21" t="s">
        <v>167</v>
      </c>
      <c r="J53" s="13"/>
      <c r="K53" s="8">
        <v>500</v>
      </c>
      <c r="L53" s="26">
        <f>Table13456781011121314151617181920212223242526[[#This Row],[الدولار]]+(Table13456781011121314151617181920212223242526[[#This Row],[اللبناني]]/90)</f>
        <v>500</v>
      </c>
      <c r="M53" s="6"/>
    </row>
    <row r="54" spans="8:14" s="8" customFormat="1" x14ac:dyDescent="0.3">
      <c r="H54" s="2" t="s">
        <v>144</v>
      </c>
      <c r="I54" s="21" t="s">
        <v>78</v>
      </c>
      <c r="J54" s="13">
        <v>140</v>
      </c>
      <c r="K54" s="8">
        <v>1</v>
      </c>
      <c r="L54" s="26">
        <f>Table13456781011121314151617181920212223242526[[#This Row],[الدولار]]+(Table13456781011121314151617181920212223242526[[#This Row],[اللبناني]]/90)</f>
        <v>2.5555555555555554</v>
      </c>
      <c r="M54" s="6"/>
    </row>
    <row r="55" spans="8:14" s="8" customFormat="1" x14ac:dyDescent="0.3">
      <c r="H55" s="2" t="s">
        <v>144</v>
      </c>
      <c r="I55" s="21" t="s">
        <v>15</v>
      </c>
      <c r="J55" s="13">
        <v>-300</v>
      </c>
      <c r="K55" s="8">
        <v>10</v>
      </c>
      <c r="L55" s="26">
        <f>Table13456781011121314151617181920212223242526[[#This Row],[الدولار]]+(Table13456781011121314151617181920212223242526[[#This Row],[اللبناني]]/90)</f>
        <v>6.6666666666666661</v>
      </c>
      <c r="M55" s="6"/>
    </row>
    <row r="56" spans="8:14" s="8" customFormat="1" x14ac:dyDescent="0.3">
      <c r="H56" s="2" t="s">
        <v>144</v>
      </c>
      <c r="I56" s="21"/>
      <c r="J56" s="13">
        <v>300</v>
      </c>
      <c r="L56" s="26">
        <f>Table13456781011121314151617181920212223242526[[#This Row],[الدولار]]+(Table13456781011121314151617181920212223242526[[#This Row],[اللبناني]]/90)</f>
        <v>3.3333333333333335</v>
      </c>
      <c r="M56" s="6"/>
    </row>
    <row r="57" spans="8:14" s="8" customFormat="1" x14ac:dyDescent="0.3">
      <c r="H57" s="2" t="s">
        <v>145</v>
      </c>
      <c r="I57" s="21"/>
      <c r="J57" s="13">
        <v>-2000</v>
      </c>
      <c r="L57" s="26">
        <f>Table13456781011121314151617181920212223242526[[#This Row],[الدولار]]+(Table13456781011121314151617181920212223242526[[#This Row],[اللبناني]]/90)</f>
        <v>-22.222222222222221</v>
      </c>
      <c r="M57" s="6"/>
    </row>
    <row r="58" spans="8:14" s="8" customFormat="1" x14ac:dyDescent="0.3">
      <c r="H58" s="2" t="s">
        <v>145</v>
      </c>
      <c r="I58" s="21"/>
      <c r="J58" s="13">
        <v>-300</v>
      </c>
      <c r="L58" s="26">
        <f>Table13456781011121314151617181920212223242526[[#This Row],[الدولار]]+(Table13456781011121314151617181920212223242526[[#This Row],[اللبناني]]/90)</f>
        <v>-3.3333333333333335</v>
      </c>
      <c r="M58" s="6"/>
    </row>
    <row r="59" spans="8:14" s="8" customFormat="1" x14ac:dyDescent="0.3">
      <c r="H59" s="2" t="s">
        <v>144</v>
      </c>
      <c r="I59" s="21"/>
      <c r="J59" s="13">
        <v>-300</v>
      </c>
      <c r="K59" s="8">
        <v>5</v>
      </c>
      <c r="L59" s="26">
        <f>Table13456781011121314151617181920212223242526[[#This Row],[الدولار]]+(Table13456781011121314151617181920212223242526[[#This Row],[اللبناني]]/90)</f>
        <v>1.6666666666666665</v>
      </c>
      <c r="M59" s="6"/>
    </row>
    <row r="60" spans="8:14" s="8" customFormat="1" x14ac:dyDescent="0.3">
      <c r="H60" s="2" t="s">
        <v>144</v>
      </c>
      <c r="I60" s="21"/>
      <c r="J60" s="13"/>
      <c r="K60" s="8">
        <v>5</v>
      </c>
      <c r="L60" s="26">
        <f>Table13456781011121314151617181920212223242526[[#This Row],[الدولار]]+(Table13456781011121314151617181920212223242526[[#This Row],[اللبناني]]/90)</f>
        <v>5</v>
      </c>
      <c r="M60" s="6"/>
    </row>
    <row r="61" spans="8:14" s="8" customFormat="1" x14ac:dyDescent="0.3">
      <c r="H61" s="2" t="s">
        <v>144</v>
      </c>
      <c r="I61" s="21"/>
      <c r="J61" s="13">
        <v>60</v>
      </c>
      <c r="L61" s="26">
        <f>Table13456781011121314151617181920212223242526[[#This Row],[الدولار]]+(Table13456781011121314151617181920212223242526[[#This Row],[اللبناني]]/90)</f>
        <v>0.66666666666666663</v>
      </c>
      <c r="M61" s="6"/>
    </row>
    <row r="62" spans="8:14" s="8" customFormat="1" x14ac:dyDescent="0.3">
      <c r="H62" s="2" t="s">
        <v>144</v>
      </c>
      <c r="I62" s="21"/>
      <c r="J62" s="13">
        <v>-150</v>
      </c>
      <c r="K62" s="8">
        <v>20</v>
      </c>
      <c r="L62" s="26">
        <f>Table13456781011121314151617181920212223242526[[#This Row],[الدولار]]+(Table13456781011121314151617181920212223242526[[#This Row],[اللبناني]]/90)</f>
        <v>18.333333333333332</v>
      </c>
      <c r="M62" s="6"/>
    </row>
    <row r="63" spans="8:14" s="8" customFormat="1" x14ac:dyDescent="0.3">
      <c r="H63" s="2" t="s">
        <v>144</v>
      </c>
      <c r="I63" s="21"/>
      <c r="J63" s="13"/>
      <c r="K63" s="8">
        <v>30</v>
      </c>
      <c r="L63" s="26">
        <f>Table13456781011121314151617181920212223242526[[#This Row],[الدولار]]+(Table13456781011121314151617181920212223242526[[#This Row],[اللبناني]]/90)</f>
        <v>30</v>
      </c>
      <c r="M63" s="6"/>
    </row>
    <row r="64" spans="8:14" s="8" customFormat="1" x14ac:dyDescent="0.3">
      <c r="H64" s="2" t="s">
        <v>144</v>
      </c>
      <c r="I64" s="21"/>
      <c r="J64" s="13">
        <v>675</v>
      </c>
      <c r="L64" s="26">
        <f>Table13456781011121314151617181920212223242526[[#This Row],[الدولار]]+(Table13456781011121314151617181920212223242526[[#This Row],[اللبناني]]/90)</f>
        <v>7.5</v>
      </c>
      <c r="M64" s="6"/>
    </row>
    <row r="65" spans="8:13" s="8" customFormat="1" x14ac:dyDescent="0.3">
      <c r="H65" s="2" t="s">
        <v>144</v>
      </c>
      <c r="I65" s="21"/>
      <c r="J65" s="13"/>
      <c r="K65" s="8">
        <v>24</v>
      </c>
      <c r="L65" s="26">
        <f>Table13456781011121314151617181920212223242526[[#This Row],[الدولار]]+(Table13456781011121314151617181920212223242526[[#This Row],[اللبناني]]/90)</f>
        <v>24</v>
      </c>
      <c r="M65" s="6"/>
    </row>
    <row r="66" spans="8:13" s="8" customFormat="1" x14ac:dyDescent="0.3">
      <c r="H66" s="2" t="s">
        <v>144</v>
      </c>
      <c r="I66" s="21"/>
      <c r="J66" s="13">
        <v>-100</v>
      </c>
      <c r="L66" s="26">
        <f>Table13456781011121314151617181920212223242526[[#This Row],[الدولار]]+(Table13456781011121314151617181920212223242526[[#This Row],[اللبناني]]/90)</f>
        <v>-1.1111111111111112</v>
      </c>
      <c r="M66" s="6"/>
    </row>
    <row r="67" spans="8:13" s="8" customFormat="1" x14ac:dyDescent="0.3">
      <c r="H67" s="2" t="s">
        <v>144</v>
      </c>
      <c r="I67" s="21"/>
      <c r="J67" s="13"/>
      <c r="K67" s="8">
        <v>60</v>
      </c>
      <c r="L67" s="26">
        <f>Table13456781011121314151617181920212223242526[[#This Row],[الدولار]]+(Table13456781011121314151617181920212223242526[[#This Row],[اللبناني]]/90)</f>
        <v>60</v>
      </c>
      <c r="M67" s="6"/>
    </row>
    <row r="68" spans="8:13" s="8" customFormat="1" x14ac:dyDescent="0.3">
      <c r="H68" s="2" t="s">
        <v>144</v>
      </c>
      <c r="I68" s="21"/>
      <c r="J68" s="13">
        <v>500</v>
      </c>
      <c r="L68" s="26">
        <f>Table13456781011121314151617181920212223242526[[#This Row],[الدولار]]+(Table13456781011121314151617181920212223242526[[#This Row],[اللبناني]]/90)</f>
        <v>5.5555555555555554</v>
      </c>
      <c r="M68" s="6"/>
    </row>
    <row r="69" spans="8:13" s="8" customFormat="1" x14ac:dyDescent="0.3">
      <c r="H69" s="2" t="s">
        <v>144</v>
      </c>
      <c r="I69" s="21"/>
      <c r="J69" s="13">
        <v>-325</v>
      </c>
      <c r="L69" s="26">
        <f>Table13456781011121314151617181920212223242526[[#This Row],[الدولار]]+(Table13456781011121314151617181920212223242526[[#This Row],[اللبناني]]/90)</f>
        <v>-3.6111111111111112</v>
      </c>
      <c r="M69" s="6"/>
    </row>
    <row r="70" spans="8:13" s="8" customFormat="1" x14ac:dyDescent="0.3">
      <c r="H70" s="2" t="s">
        <v>144</v>
      </c>
      <c r="I70" s="21"/>
      <c r="J70" s="13">
        <v>-200</v>
      </c>
      <c r="K70" s="8">
        <v>5</v>
      </c>
      <c r="L70" s="26">
        <f>Table13456781011121314151617181920212223242526[[#This Row],[الدولار]]+(Table13456781011121314151617181920212223242526[[#This Row],[اللبناني]]/90)</f>
        <v>2.7777777777777777</v>
      </c>
      <c r="M70" s="6"/>
    </row>
    <row r="71" spans="8:13" s="8" customFormat="1" x14ac:dyDescent="0.3">
      <c r="H71" s="2" t="s">
        <v>144</v>
      </c>
      <c r="I71" s="21"/>
      <c r="J71" s="13">
        <v>-100</v>
      </c>
      <c r="K71" s="8">
        <v>5</v>
      </c>
      <c r="L71" s="26">
        <f>Table13456781011121314151617181920212223242526[[#This Row],[الدولار]]+(Table13456781011121314151617181920212223242526[[#This Row],[اللبناني]]/90)</f>
        <v>3.8888888888888888</v>
      </c>
      <c r="M71" s="6"/>
    </row>
    <row r="72" spans="8:13" s="8" customFormat="1" x14ac:dyDescent="0.3">
      <c r="H72" s="2" t="s">
        <v>144</v>
      </c>
      <c r="I72" s="21"/>
      <c r="J72" s="13">
        <v>100</v>
      </c>
      <c r="K72" s="8">
        <v>5</v>
      </c>
      <c r="L72" s="26">
        <f>Table13456781011121314151617181920212223242526[[#This Row],[الدولار]]+(Table13456781011121314151617181920212223242526[[#This Row],[اللبناني]]/90)</f>
        <v>6.1111111111111107</v>
      </c>
      <c r="M72" s="6"/>
    </row>
    <row r="73" spans="8:13" s="8" customFormat="1" x14ac:dyDescent="0.3">
      <c r="H73" s="2" t="s">
        <v>144</v>
      </c>
      <c r="I73" s="21"/>
      <c r="J73" s="13">
        <v>140</v>
      </c>
      <c r="L73" s="26">
        <f>Table13456781011121314151617181920212223242526[[#This Row],[الدولار]]+(Table13456781011121314151617181920212223242526[[#This Row],[اللبناني]]/90)</f>
        <v>1.5555555555555556</v>
      </c>
      <c r="M73" s="6"/>
    </row>
    <row r="74" spans="8:13" s="8" customFormat="1" x14ac:dyDescent="0.3">
      <c r="H74" s="2" t="s">
        <v>144</v>
      </c>
      <c r="I74" s="21"/>
      <c r="J74" s="13">
        <v>250</v>
      </c>
      <c r="L74" s="26">
        <f>Table13456781011121314151617181920212223242526[[#This Row],[الدولار]]+(Table13456781011121314151617181920212223242526[[#This Row],[اللبناني]]/90)</f>
        <v>2.7777777777777777</v>
      </c>
      <c r="M74" s="6"/>
    </row>
    <row r="75" spans="8:13" s="8" customFormat="1" x14ac:dyDescent="0.3">
      <c r="H75" s="2" t="s">
        <v>144</v>
      </c>
      <c r="I75" s="21"/>
      <c r="J75" s="13">
        <v>-270</v>
      </c>
      <c r="L75" s="26">
        <f>Table13456781011121314151617181920212223242526[[#This Row],[الدولار]]+(Table13456781011121314151617181920212223242526[[#This Row],[اللبناني]]/90)</f>
        <v>-3</v>
      </c>
      <c r="M75" s="6"/>
    </row>
    <row r="76" spans="8:13" s="8" customFormat="1" x14ac:dyDescent="0.3">
      <c r="H76" s="2" t="s">
        <v>144</v>
      </c>
      <c r="I76" s="21"/>
      <c r="J76" s="13">
        <v>-320</v>
      </c>
      <c r="K76" s="8">
        <v>10</v>
      </c>
      <c r="L76" s="26">
        <f>Table13456781011121314151617181920212223242526[[#This Row],[الدولار]]+(Table13456781011121314151617181920212223242526[[#This Row],[اللبناني]]/90)</f>
        <v>6.4444444444444446</v>
      </c>
      <c r="M76" s="6"/>
    </row>
    <row r="77" spans="8:13" s="8" customFormat="1" x14ac:dyDescent="0.3">
      <c r="H77" s="2" t="s">
        <v>144</v>
      </c>
      <c r="I77" s="21"/>
      <c r="J77" s="13">
        <v>-320</v>
      </c>
      <c r="K77" s="8">
        <v>10</v>
      </c>
      <c r="L77" s="26">
        <f>Table13456781011121314151617181920212223242526[[#This Row],[الدولار]]+(Table13456781011121314151617181920212223242526[[#This Row],[اللبناني]]/90)</f>
        <v>6.4444444444444446</v>
      </c>
      <c r="M77" s="6"/>
    </row>
    <row r="78" spans="8:13" s="8" customFormat="1" x14ac:dyDescent="0.3">
      <c r="H78" s="2" t="s">
        <v>144</v>
      </c>
      <c r="I78" s="21"/>
      <c r="J78" s="13">
        <v>100</v>
      </c>
      <c r="K78" s="8">
        <v>120</v>
      </c>
      <c r="L78" s="26">
        <f>Table13456781011121314151617181920212223242526[[#This Row],[الدولار]]+(Table13456781011121314151617181920212223242526[[#This Row],[اللبناني]]/90)</f>
        <v>121.11111111111111</v>
      </c>
      <c r="M78" s="6"/>
    </row>
    <row r="79" spans="8:13" s="8" customFormat="1" x14ac:dyDescent="0.3">
      <c r="H79" s="2" t="s">
        <v>144</v>
      </c>
      <c r="I79" s="21"/>
      <c r="J79" s="13"/>
      <c r="K79" s="8">
        <v>32</v>
      </c>
      <c r="L79" s="26">
        <f>Table13456781011121314151617181920212223242526[[#This Row],[الدولار]]+(Table13456781011121314151617181920212223242526[[#This Row],[اللبناني]]/90)</f>
        <v>32</v>
      </c>
      <c r="M79" s="6"/>
    </row>
    <row r="80" spans="8:13" s="8" customFormat="1" x14ac:dyDescent="0.3">
      <c r="H80" s="2" t="s">
        <v>144</v>
      </c>
      <c r="I80" s="21"/>
      <c r="J80" s="13">
        <v>50</v>
      </c>
      <c r="L80" s="26">
        <f>Table13456781011121314151617181920212223242526[[#This Row],[الدولار]]+(Table13456781011121314151617181920212223242526[[#This Row],[اللبناني]]/90)</f>
        <v>0.55555555555555558</v>
      </c>
      <c r="M80" s="6"/>
    </row>
    <row r="81" spans="8:13" s="8" customFormat="1" x14ac:dyDescent="0.3">
      <c r="H81" s="2" t="s">
        <v>144</v>
      </c>
      <c r="I81" s="21"/>
      <c r="J81" s="13"/>
      <c r="K81" s="8">
        <v>20</v>
      </c>
      <c r="L81" s="26">
        <f>Table13456781011121314151617181920212223242526[[#This Row],[الدولار]]+(Table13456781011121314151617181920212223242526[[#This Row],[اللبناني]]/90)</f>
        <v>20</v>
      </c>
      <c r="M81" s="6"/>
    </row>
    <row r="82" spans="8:13" s="8" customFormat="1" x14ac:dyDescent="0.3">
      <c r="H82" s="2" t="s">
        <v>144</v>
      </c>
      <c r="I82" s="21"/>
      <c r="J82" s="13"/>
      <c r="K82" s="8">
        <v>10</v>
      </c>
      <c r="L82" s="26">
        <f>Table13456781011121314151617181920212223242526[[#This Row],[الدولار]]+(Table13456781011121314151617181920212223242526[[#This Row],[اللبناني]]/90)</f>
        <v>10</v>
      </c>
      <c r="M82" s="6"/>
    </row>
    <row r="83" spans="8:13" s="8" customFormat="1" x14ac:dyDescent="0.3">
      <c r="H83" s="2" t="s">
        <v>144</v>
      </c>
      <c r="I83" s="21"/>
      <c r="J83" s="13">
        <v>150</v>
      </c>
      <c r="L83" s="26">
        <f>Table13456781011121314151617181920212223242526[[#This Row],[الدولار]]+(Table13456781011121314151617181920212223242526[[#This Row],[اللبناني]]/90)</f>
        <v>1.6666666666666667</v>
      </c>
      <c r="M83" s="6"/>
    </row>
    <row r="84" spans="8:13" s="8" customFormat="1" x14ac:dyDescent="0.3">
      <c r="H84" s="2" t="s">
        <v>144</v>
      </c>
      <c r="I84" s="21"/>
      <c r="J84" s="13">
        <v>200</v>
      </c>
      <c r="L84" s="26">
        <f>Table13456781011121314151617181920212223242526[[#This Row],[الدولار]]+(Table13456781011121314151617181920212223242526[[#This Row],[اللبناني]]/90)</f>
        <v>2.2222222222222223</v>
      </c>
      <c r="M84" s="6"/>
    </row>
    <row r="85" spans="8:13" s="8" customFormat="1" x14ac:dyDescent="0.3">
      <c r="H85" s="2" t="s">
        <v>144</v>
      </c>
      <c r="I85" s="21"/>
      <c r="J85" s="13">
        <v>-100</v>
      </c>
      <c r="K85" s="8">
        <v>130</v>
      </c>
      <c r="L85" s="26">
        <f>Table13456781011121314151617181920212223242526[[#This Row],[الدولار]]+(Table13456781011121314151617181920212223242526[[#This Row],[اللبناني]]/90)</f>
        <v>128.88888888888889</v>
      </c>
      <c r="M85" s="6"/>
    </row>
    <row r="86" spans="8:13" s="8" customFormat="1" x14ac:dyDescent="0.3">
      <c r="H86" s="2" t="s">
        <v>144</v>
      </c>
      <c r="I86" s="21"/>
      <c r="J86" s="13">
        <v>-360</v>
      </c>
      <c r="K86" s="8">
        <v>10</v>
      </c>
      <c r="L86" s="26">
        <f>Table13456781011121314151617181920212223242526[[#This Row],[الدولار]]+(Table13456781011121314151617181920212223242526[[#This Row],[اللبناني]]/90)</f>
        <v>6</v>
      </c>
      <c r="M86" s="6"/>
    </row>
    <row r="87" spans="8:13" s="8" customFormat="1" x14ac:dyDescent="0.3">
      <c r="H87" s="2" t="s">
        <v>144</v>
      </c>
      <c r="I87" s="21"/>
      <c r="J87" s="13">
        <v>-360</v>
      </c>
      <c r="K87" s="8">
        <v>350</v>
      </c>
      <c r="L87" s="26">
        <f>Table13456781011121314151617181920212223242526[[#This Row],[الدولار]]+(Table13456781011121314151617181920212223242526[[#This Row],[اللبناني]]/90)</f>
        <v>346</v>
      </c>
      <c r="M87" s="6"/>
    </row>
    <row r="88" spans="8:13" s="8" customFormat="1" x14ac:dyDescent="0.3">
      <c r="H88" s="2" t="s">
        <v>144</v>
      </c>
      <c r="I88" s="21"/>
      <c r="J88" s="13">
        <v>-100</v>
      </c>
      <c r="K88" s="8">
        <v>10</v>
      </c>
      <c r="L88" s="26">
        <f>Table13456781011121314151617181920212223242526[[#This Row],[الدولار]]+(Table13456781011121314151617181920212223242526[[#This Row],[اللبناني]]/90)</f>
        <v>8.8888888888888893</v>
      </c>
      <c r="M88" s="6"/>
    </row>
    <row r="89" spans="8:13" s="8" customFormat="1" x14ac:dyDescent="0.3">
      <c r="H89" s="2" t="s">
        <v>144</v>
      </c>
      <c r="I89" s="21"/>
      <c r="J89" s="13">
        <v>60</v>
      </c>
      <c r="L89" s="26">
        <f>Table13456781011121314151617181920212223242526[[#This Row],[الدولار]]+(Table13456781011121314151617181920212223242526[[#This Row],[اللبناني]]/90)</f>
        <v>0.66666666666666663</v>
      </c>
      <c r="M89" s="6"/>
    </row>
    <row r="90" spans="8:13" s="8" customFormat="1" x14ac:dyDescent="0.3">
      <c r="H90" s="2" t="s">
        <v>144</v>
      </c>
      <c r="I90" s="21"/>
      <c r="J90" s="13">
        <v>-250</v>
      </c>
      <c r="K90" s="8">
        <v>5</v>
      </c>
      <c r="L90" s="26">
        <f>Table13456781011121314151617181920212223242526[[#This Row],[الدولار]]+(Table13456781011121314151617181920212223242526[[#This Row],[اللبناني]]/90)</f>
        <v>2.2222222222222223</v>
      </c>
      <c r="M90" s="6"/>
    </row>
    <row r="91" spans="8:13" s="8" customFormat="1" x14ac:dyDescent="0.3">
      <c r="H91" s="2" t="s">
        <v>146</v>
      </c>
      <c r="I91" s="21"/>
      <c r="J91" s="13"/>
      <c r="K91" s="8">
        <v>-100</v>
      </c>
      <c r="L91" s="26">
        <f>Table13456781011121314151617181920212223242526[[#This Row],[الدولار]]+(Table13456781011121314151617181920212223242526[[#This Row],[اللبناني]]/90)</f>
        <v>-100</v>
      </c>
      <c r="M91" s="6"/>
    </row>
    <row r="92" spans="8:13" s="8" customFormat="1" x14ac:dyDescent="0.3">
      <c r="H92" s="2" t="s">
        <v>144</v>
      </c>
      <c r="I92" s="21"/>
      <c r="J92" s="13"/>
      <c r="K92" s="8">
        <v>9</v>
      </c>
      <c r="L92" s="26">
        <f>Table13456781011121314151617181920212223242526[[#This Row],[الدولار]]+(Table13456781011121314151617181920212223242526[[#This Row],[اللبناني]]/90)</f>
        <v>9</v>
      </c>
      <c r="M92" s="6"/>
    </row>
    <row r="93" spans="8:13" s="8" customFormat="1" x14ac:dyDescent="0.3">
      <c r="H93" s="2" t="s">
        <v>144</v>
      </c>
      <c r="I93" s="21"/>
      <c r="J93" s="13">
        <v>360</v>
      </c>
      <c r="L93" s="26">
        <f>Table13456781011121314151617181920212223242526[[#This Row],[الدولار]]+(Table13456781011121314151617181920212223242526[[#This Row],[اللبناني]]/90)</f>
        <v>4</v>
      </c>
      <c r="M93" s="6"/>
    </row>
    <row r="94" spans="8:13" s="8" customFormat="1" x14ac:dyDescent="0.3">
      <c r="H94" s="2" t="s">
        <v>144</v>
      </c>
      <c r="I94" s="21"/>
      <c r="J94" s="13">
        <v>100</v>
      </c>
      <c r="L94" s="26">
        <f>Table13456781011121314151617181920212223242526[[#This Row],[الدولار]]+(Table13456781011121314151617181920212223242526[[#This Row],[اللبناني]]/90)</f>
        <v>1.1111111111111112</v>
      </c>
      <c r="M94" s="6"/>
    </row>
    <row r="95" spans="8:13" s="8" customFormat="1" x14ac:dyDescent="0.3">
      <c r="H95" s="2" t="s">
        <v>144</v>
      </c>
      <c r="I95" s="21"/>
      <c r="J95" s="13">
        <v>100</v>
      </c>
      <c r="L95" s="26">
        <f>Table13456781011121314151617181920212223242526[[#This Row],[الدولار]]+(Table13456781011121314151617181920212223242526[[#This Row],[اللبناني]]/90)</f>
        <v>1.1111111111111112</v>
      </c>
      <c r="M95" s="6"/>
    </row>
    <row r="96" spans="8:13" s="8" customFormat="1" x14ac:dyDescent="0.3">
      <c r="H96" s="2" t="s">
        <v>144</v>
      </c>
      <c r="I96" s="21"/>
      <c r="J96" s="13">
        <v>2000</v>
      </c>
      <c r="L96" s="26">
        <f>Table13456781011121314151617181920212223242526[[#This Row],[الدولار]]+(Table13456781011121314151617181920212223242526[[#This Row],[اللبناني]]/90)</f>
        <v>22.222222222222221</v>
      </c>
      <c r="M96" s="6"/>
    </row>
    <row r="97" spans="8:13" s="8" customFormat="1" x14ac:dyDescent="0.3">
      <c r="H97" s="2" t="s">
        <v>144</v>
      </c>
      <c r="I97" s="21"/>
      <c r="J97" s="13">
        <v>225</v>
      </c>
      <c r="L97" s="26">
        <f>Table13456781011121314151617181920212223242526[[#This Row],[الدولار]]+(Table13456781011121314151617181920212223242526[[#This Row],[اللبناني]]/90)</f>
        <v>2.5</v>
      </c>
      <c r="M97" s="6"/>
    </row>
    <row r="98" spans="8:13" s="8" customFormat="1" x14ac:dyDescent="0.3">
      <c r="H98" s="2" t="s">
        <v>144</v>
      </c>
      <c r="I98" s="21"/>
      <c r="J98" s="13"/>
      <c r="K98" s="8">
        <v>10</v>
      </c>
      <c r="L98" s="26">
        <f>Table13456781011121314151617181920212223242526[[#This Row],[الدولار]]+(Table13456781011121314151617181920212223242526[[#This Row],[اللبناني]]/90)</f>
        <v>10</v>
      </c>
      <c r="M98" s="6"/>
    </row>
    <row r="99" spans="8:13" s="8" customFormat="1" x14ac:dyDescent="0.3">
      <c r="H99" s="2" t="s">
        <v>144</v>
      </c>
      <c r="I99" s="21"/>
      <c r="J99" s="13">
        <v>-400</v>
      </c>
      <c r="K99" s="8">
        <v>10</v>
      </c>
      <c r="L99" s="26">
        <f>Table13456781011121314151617181920212223242526[[#This Row],[الدولار]]+(Table13456781011121314151617181920212223242526[[#This Row],[اللبناني]]/90)</f>
        <v>5.5555555555555554</v>
      </c>
      <c r="M99" s="6"/>
    </row>
    <row r="100" spans="8:13" s="8" customFormat="1" x14ac:dyDescent="0.3">
      <c r="H100" s="2" t="s">
        <v>144</v>
      </c>
      <c r="I100" s="21"/>
      <c r="J100" s="13">
        <v>-450</v>
      </c>
      <c r="K100" s="8">
        <v>5</v>
      </c>
      <c r="L100" s="26">
        <f>Table13456781011121314151617181920212223242526[[#This Row],[الدولار]]+(Table13456781011121314151617181920212223242526[[#This Row],[اللبناني]]/90)</f>
        <v>0</v>
      </c>
      <c r="M100" s="6"/>
    </row>
    <row r="101" spans="8:13" s="8" customFormat="1" x14ac:dyDescent="0.3">
      <c r="H101" s="2" t="s">
        <v>144</v>
      </c>
      <c r="I101" s="21"/>
      <c r="J101" s="13">
        <v>-350</v>
      </c>
      <c r="K101" s="8">
        <v>10</v>
      </c>
      <c r="L101" s="26">
        <f>Table13456781011121314151617181920212223242526[[#This Row],[الدولار]]+(Table13456781011121314151617181920212223242526[[#This Row],[اللبناني]]/90)</f>
        <v>6.1111111111111107</v>
      </c>
      <c r="M101" s="6"/>
    </row>
    <row r="102" spans="8:13" s="8" customFormat="1" x14ac:dyDescent="0.3">
      <c r="H102" s="2" t="s">
        <v>144</v>
      </c>
      <c r="I102" s="21"/>
      <c r="J102" s="13"/>
      <c r="K102" s="8">
        <v>150</v>
      </c>
      <c r="L102" s="26">
        <f>Table13456781011121314151617181920212223242526[[#This Row],[الدولار]]+(Table13456781011121314151617181920212223242526[[#This Row],[اللبناني]]/90)</f>
        <v>150</v>
      </c>
      <c r="M102" s="6"/>
    </row>
    <row r="103" spans="8:13" s="8" customFormat="1" x14ac:dyDescent="0.3">
      <c r="H103" s="2" t="s">
        <v>144</v>
      </c>
      <c r="I103" s="21"/>
      <c r="J103" s="13">
        <v>50</v>
      </c>
      <c r="L103" s="26">
        <f>Table13456781011121314151617181920212223242526[[#This Row],[الدولار]]+(Table13456781011121314151617181920212223242526[[#This Row],[اللبناني]]/90)</f>
        <v>0.55555555555555558</v>
      </c>
      <c r="M103" s="6"/>
    </row>
    <row r="104" spans="8:13" s="8" customFormat="1" x14ac:dyDescent="0.3">
      <c r="H104" s="2" t="s">
        <v>144</v>
      </c>
      <c r="I104" s="21"/>
      <c r="J104" s="13"/>
      <c r="K104" s="8">
        <v>5</v>
      </c>
      <c r="L104" s="26">
        <f>Table13456781011121314151617181920212223242526[[#This Row],[الدولار]]+(Table13456781011121314151617181920212223242526[[#This Row],[اللبناني]]/90)</f>
        <v>5</v>
      </c>
      <c r="M104" s="6"/>
    </row>
    <row r="105" spans="8:13" s="8" customFormat="1" x14ac:dyDescent="0.3">
      <c r="H105" s="2" t="s">
        <v>144</v>
      </c>
      <c r="I105" s="21"/>
      <c r="J105" s="13">
        <v>-270</v>
      </c>
      <c r="K105" s="8">
        <v>5</v>
      </c>
      <c r="L105" s="26">
        <f>Table13456781011121314151617181920212223242526[[#This Row],[الدولار]]+(Table13456781011121314151617181920212223242526[[#This Row],[اللبناني]]/90)</f>
        <v>2</v>
      </c>
      <c r="M105" s="6"/>
    </row>
    <row r="106" spans="8:13" s="8" customFormat="1" x14ac:dyDescent="0.3">
      <c r="H106" s="2" t="s">
        <v>144</v>
      </c>
      <c r="I106" s="21"/>
      <c r="J106" s="13">
        <v>120</v>
      </c>
      <c r="K106" s="8">
        <v>5</v>
      </c>
      <c r="L106" s="26">
        <f>Table13456781011121314151617181920212223242526[[#This Row],[الدولار]]+(Table13456781011121314151617181920212223242526[[#This Row],[اللبناني]]/90)</f>
        <v>6.333333333333333</v>
      </c>
      <c r="M106" s="6"/>
    </row>
    <row r="107" spans="8:13" s="8" customFormat="1" x14ac:dyDescent="0.3">
      <c r="H107" s="2" t="s">
        <v>144</v>
      </c>
      <c r="I107" s="21"/>
      <c r="J107" s="13"/>
      <c r="K107" s="8">
        <v>40</v>
      </c>
      <c r="L107" s="26">
        <f>Table13456781011121314151617181920212223242526[[#This Row],[الدولار]]+(Table13456781011121314151617181920212223242526[[#This Row],[اللبناني]]/90)</f>
        <v>40</v>
      </c>
      <c r="M107" s="6"/>
    </row>
    <row r="108" spans="8:13" s="8" customFormat="1" x14ac:dyDescent="0.3">
      <c r="H108" s="2" t="s">
        <v>144</v>
      </c>
      <c r="I108" s="21"/>
      <c r="J108" s="13">
        <v>130</v>
      </c>
      <c r="L108" s="26">
        <f>Table13456781011121314151617181920212223242526[[#This Row],[الدولار]]+(Table13456781011121314151617181920212223242526[[#This Row],[اللبناني]]/90)</f>
        <v>1.4444444444444444</v>
      </c>
      <c r="M108" s="6"/>
    </row>
    <row r="109" spans="8:13" s="8" customFormat="1" x14ac:dyDescent="0.3">
      <c r="H109" s="2" t="s">
        <v>144</v>
      </c>
      <c r="I109" s="21"/>
      <c r="J109" s="13">
        <v>-400</v>
      </c>
      <c r="K109" s="8">
        <v>10</v>
      </c>
      <c r="L109" s="26">
        <f>Table13456781011121314151617181920212223242526[[#This Row],[الدولار]]+(Table13456781011121314151617181920212223242526[[#This Row],[اللبناني]]/90)</f>
        <v>5.5555555555555554</v>
      </c>
      <c r="M109" s="6"/>
    </row>
    <row r="110" spans="8:13" s="8" customFormat="1" x14ac:dyDescent="0.3">
      <c r="H110" s="2" t="s">
        <v>144</v>
      </c>
      <c r="I110" s="21"/>
      <c r="J110" s="13">
        <v>200</v>
      </c>
      <c r="K110" s="8">
        <v>1</v>
      </c>
      <c r="L110" s="26">
        <f>Table13456781011121314151617181920212223242526[[#This Row],[الدولار]]+(Table13456781011121314151617181920212223242526[[#This Row],[اللبناني]]/90)</f>
        <v>3.2222222222222223</v>
      </c>
      <c r="M110" s="6"/>
    </row>
    <row r="111" spans="8:13" s="8" customFormat="1" x14ac:dyDescent="0.3">
      <c r="H111" s="2" t="s">
        <v>144</v>
      </c>
      <c r="I111" s="21" t="s">
        <v>62</v>
      </c>
      <c r="J111" s="13"/>
      <c r="K111" s="8">
        <v>5</v>
      </c>
      <c r="L111" s="26">
        <f>Table13456781011121314151617181920212223242526[[#This Row],[الدولار]]+(Table13456781011121314151617181920212223242526[[#This Row],[اللبناني]]/90)</f>
        <v>5</v>
      </c>
      <c r="M111" s="6"/>
    </row>
    <row r="112" spans="8:13" s="8" customFormat="1" x14ac:dyDescent="0.3">
      <c r="H112" s="2" t="s">
        <v>144</v>
      </c>
      <c r="I112" s="21"/>
      <c r="J112" s="13">
        <v>600</v>
      </c>
      <c r="L112" s="26">
        <f>Table13456781011121314151617181920212223242526[[#This Row],[الدولار]]+(Table13456781011121314151617181920212223242526[[#This Row],[اللبناني]]/90)</f>
        <v>6.666666666666667</v>
      </c>
      <c r="M112" s="6"/>
    </row>
    <row r="113" spans="8:13" s="8" customFormat="1" x14ac:dyDescent="0.3">
      <c r="H113" s="2" t="s">
        <v>144</v>
      </c>
      <c r="I113" s="21"/>
      <c r="J113" s="13">
        <v>-300</v>
      </c>
      <c r="K113" s="8">
        <v>10</v>
      </c>
      <c r="L113" s="26">
        <f>Table13456781011121314151617181920212223242526[[#This Row],[الدولار]]+(Table13456781011121314151617181920212223242526[[#This Row],[اللبناني]]/90)</f>
        <v>6.6666666666666661</v>
      </c>
      <c r="M113" s="6"/>
    </row>
    <row r="114" spans="8:13" s="8" customFormat="1" x14ac:dyDescent="0.3">
      <c r="H114" s="2" t="s">
        <v>146</v>
      </c>
      <c r="I114" s="21"/>
      <c r="J114" s="13"/>
      <c r="K114" s="8">
        <v>-2200</v>
      </c>
      <c r="L114" s="26">
        <f>Table13456781011121314151617181920212223242526[[#This Row],[الدولار]]+(Table13456781011121314151617181920212223242526[[#This Row],[اللبناني]]/90)</f>
        <v>-2200</v>
      </c>
      <c r="M114" s="6"/>
    </row>
    <row r="115" spans="8:13" s="8" customFormat="1" x14ac:dyDescent="0.3">
      <c r="H115" s="2" t="s">
        <v>144</v>
      </c>
      <c r="I115" s="21"/>
      <c r="J115" s="13">
        <v>-10</v>
      </c>
      <c r="K115" s="8">
        <v>4</v>
      </c>
      <c r="L115" s="26">
        <f>Table13456781011121314151617181920212223242526[[#This Row],[الدولار]]+(Table13456781011121314151617181920212223242526[[#This Row],[اللبناني]]/90)</f>
        <v>3.8888888888888888</v>
      </c>
      <c r="M115" s="6"/>
    </row>
    <row r="116" spans="8:13" s="8" customFormat="1" x14ac:dyDescent="0.3">
      <c r="H116" s="2" t="s">
        <v>144</v>
      </c>
      <c r="I116" s="21"/>
      <c r="J116" s="13"/>
      <c r="K116" s="8">
        <v>35</v>
      </c>
      <c r="L116" s="26">
        <f>Table13456781011121314151617181920212223242526[[#This Row],[الدولار]]+(Table13456781011121314151617181920212223242526[[#This Row],[اللبناني]]/90)</f>
        <v>35</v>
      </c>
      <c r="M116" s="6"/>
    </row>
    <row r="117" spans="8:13" s="8" customFormat="1" x14ac:dyDescent="0.3">
      <c r="H117" s="2" t="s">
        <v>144</v>
      </c>
      <c r="I117" s="21"/>
      <c r="J117" s="13">
        <v>-110</v>
      </c>
      <c r="K117" s="8">
        <v>15</v>
      </c>
      <c r="L117" s="26">
        <f>Table13456781011121314151617181920212223242526[[#This Row],[الدولار]]+(Table13456781011121314151617181920212223242526[[#This Row],[اللبناني]]/90)</f>
        <v>13.777777777777779</v>
      </c>
      <c r="M117" s="6"/>
    </row>
    <row r="118" spans="8:13" s="8" customFormat="1" x14ac:dyDescent="0.3">
      <c r="H118" s="2" t="s">
        <v>144</v>
      </c>
      <c r="I118" s="21"/>
      <c r="J118" s="13">
        <v>-250</v>
      </c>
      <c r="L118" s="26">
        <f>Table13456781011121314151617181920212223242526[[#This Row],[الدولار]]+(Table13456781011121314151617181920212223242526[[#This Row],[اللبناني]]/90)</f>
        <v>-2.7777777777777777</v>
      </c>
      <c r="M118" s="6"/>
    </row>
    <row r="119" spans="8:13" s="8" customFormat="1" x14ac:dyDescent="0.3">
      <c r="H119" s="2" t="s">
        <v>144</v>
      </c>
      <c r="I119" s="21"/>
      <c r="J119" s="13"/>
      <c r="K119" s="8">
        <v>8</v>
      </c>
      <c r="L119" s="26">
        <f>Table13456781011121314151617181920212223242526[[#This Row],[الدولار]]+(Table13456781011121314151617181920212223242526[[#This Row],[اللبناني]]/90)</f>
        <v>8</v>
      </c>
      <c r="M119" s="6"/>
    </row>
    <row r="120" spans="8:13" s="8" customFormat="1" x14ac:dyDescent="0.3">
      <c r="H120" s="2" t="s">
        <v>144</v>
      </c>
      <c r="I120" s="21"/>
      <c r="J120" s="13">
        <v>400</v>
      </c>
      <c r="L120" s="26">
        <f>Table13456781011121314151617181920212223242526[[#This Row],[الدولار]]+(Table13456781011121314151617181920212223242526[[#This Row],[اللبناني]]/90)</f>
        <v>4.4444444444444446</v>
      </c>
      <c r="M120" s="6"/>
    </row>
    <row r="121" spans="8:13" s="8" customFormat="1" x14ac:dyDescent="0.3">
      <c r="H121" s="2" t="s">
        <v>144</v>
      </c>
      <c r="I121" s="21"/>
      <c r="J121" s="13"/>
      <c r="K121" s="8">
        <v>-10</v>
      </c>
      <c r="L121" s="26">
        <f>Table13456781011121314151617181920212223242526[[#This Row],[الدولار]]+(Table13456781011121314151617181920212223242526[[#This Row],[اللبناني]]/90)</f>
        <v>-10</v>
      </c>
      <c r="M121" s="6"/>
    </row>
    <row r="122" spans="8:13" s="8" customFormat="1" x14ac:dyDescent="0.3">
      <c r="H122" s="2" t="s">
        <v>144</v>
      </c>
      <c r="I122" s="21"/>
      <c r="J122" s="13">
        <v>-100</v>
      </c>
      <c r="L122" s="26">
        <f>Table13456781011121314151617181920212223242526[[#This Row],[الدولار]]+(Table13456781011121314151617181920212223242526[[#This Row],[اللبناني]]/90)</f>
        <v>-1.1111111111111112</v>
      </c>
      <c r="M122" s="6"/>
    </row>
    <row r="123" spans="8:13" s="8" customFormat="1" x14ac:dyDescent="0.3">
      <c r="H123" s="2" t="s">
        <v>144</v>
      </c>
      <c r="I123" s="21" t="s">
        <v>159</v>
      </c>
      <c r="J123" s="13"/>
      <c r="K123" s="8">
        <v>110</v>
      </c>
      <c r="L123" s="26">
        <f>Table13456781011121314151617181920212223242526[[#This Row],[الدولار]]+(Table13456781011121314151617181920212223242526[[#This Row],[اللبناني]]/90)</f>
        <v>110</v>
      </c>
      <c r="M123" s="6"/>
    </row>
    <row r="124" spans="8:13" s="8" customFormat="1" x14ac:dyDescent="0.3">
      <c r="H124" s="2" t="s">
        <v>144</v>
      </c>
      <c r="I124" s="21" t="s">
        <v>159</v>
      </c>
      <c r="J124" s="13"/>
      <c r="K124" s="8">
        <v>105</v>
      </c>
      <c r="L124" s="26">
        <f>Table13456781011121314151617181920212223242526[[#This Row],[الدولار]]+(Table13456781011121314151617181920212223242526[[#This Row],[اللبناني]]/90)</f>
        <v>105</v>
      </c>
      <c r="M124" s="6"/>
    </row>
    <row r="125" spans="8:13" s="8" customFormat="1" x14ac:dyDescent="0.3">
      <c r="H125" s="2" t="s">
        <v>144</v>
      </c>
      <c r="I125" s="21" t="s">
        <v>159</v>
      </c>
      <c r="J125" s="13"/>
      <c r="K125" s="8">
        <v>130</v>
      </c>
      <c r="L125" s="26">
        <f>Table13456781011121314151617181920212223242526[[#This Row],[الدولار]]+(Table13456781011121314151617181920212223242526[[#This Row],[اللبناني]]/90)</f>
        <v>130</v>
      </c>
      <c r="M125" s="6"/>
    </row>
    <row r="126" spans="8:13" s="8" customFormat="1" x14ac:dyDescent="0.3">
      <c r="H126" s="2" t="s">
        <v>144</v>
      </c>
      <c r="I126" s="21" t="s">
        <v>159</v>
      </c>
      <c r="J126" s="13"/>
      <c r="K126" s="8">
        <v>-110</v>
      </c>
      <c r="L126" s="26">
        <f>Table13456781011121314151617181920212223242526[[#This Row],[الدولار]]+(Table13456781011121314151617181920212223242526[[#This Row],[اللبناني]]/90)</f>
        <v>-110</v>
      </c>
      <c r="M126" s="6"/>
    </row>
    <row r="127" spans="8:13" s="8" customFormat="1" x14ac:dyDescent="0.3">
      <c r="H127" s="2" t="s">
        <v>144</v>
      </c>
      <c r="I127" s="21" t="s">
        <v>159</v>
      </c>
      <c r="J127" s="13"/>
      <c r="K127" s="8">
        <v>-105</v>
      </c>
      <c r="L127" s="26">
        <f>Table13456781011121314151617181920212223242526[[#This Row],[الدولار]]+(Table13456781011121314151617181920212223242526[[#This Row],[اللبناني]]/90)</f>
        <v>-105</v>
      </c>
      <c r="M127" s="6"/>
    </row>
    <row r="128" spans="8:13" s="8" customFormat="1" x14ac:dyDescent="0.3">
      <c r="H128" s="2" t="s">
        <v>144</v>
      </c>
      <c r="I128" s="21" t="s">
        <v>159</v>
      </c>
      <c r="J128" s="13"/>
      <c r="K128" s="8">
        <v>-130</v>
      </c>
      <c r="L128" s="26">
        <f>Table13456781011121314151617181920212223242526[[#This Row],[الدولار]]+(Table13456781011121314151617181920212223242526[[#This Row],[اللبناني]]/90)</f>
        <v>-130</v>
      </c>
      <c r="M128" s="6"/>
    </row>
    <row r="129" spans="8:13" s="8" customFormat="1" x14ac:dyDescent="0.3">
      <c r="H129" s="2" t="s">
        <v>144</v>
      </c>
      <c r="I129" s="21"/>
      <c r="J129" s="13"/>
      <c r="L129" s="26">
        <f>Table13456781011121314151617181920212223242526[[#This Row],[الدولار]]+(Table13456781011121314151617181920212223242526[[#This Row],[اللبناني]]/90)</f>
        <v>0</v>
      </c>
      <c r="M129" s="6"/>
    </row>
    <row r="130" spans="8:13" s="8" customFormat="1" x14ac:dyDescent="0.3">
      <c r="H130" s="2" t="s">
        <v>144</v>
      </c>
      <c r="I130" s="21"/>
      <c r="J130" s="13"/>
      <c r="L130" s="26">
        <f>Table13456781011121314151617181920212223242526[[#This Row],[الدولار]]+(Table13456781011121314151617181920212223242526[[#This Row],[اللبناني]]/90)</f>
        <v>0</v>
      </c>
      <c r="M130" s="6"/>
    </row>
    <row r="131" spans="8:13" s="8" customFormat="1" x14ac:dyDescent="0.3">
      <c r="H131" s="2" t="s">
        <v>144</v>
      </c>
      <c r="I131" s="21"/>
      <c r="J131" s="13"/>
      <c r="L131" s="26">
        <f>Table13456781011121314151617181920212223242526[[#This Row],[الدولار]]+(Table13456781011121314151617181920212223242526[[#This Row],[اللبناني]]/90)</f>
        <v>0</v>
      </c>
      <c r="M131" s="6"/>
    </row>
    <row r="132" spans="8:13" s="8" customFormat="1" x14ac:dyDescent="0.3">
      <c r="H132" s="2" t="s">
        <v>144</v>
      </c>
      <c r="I132" s="21"/>
      <c r="J132" s="13"/>
      <c r="L132" s="26">
        <f>Table13456781011121314151617181920212223242526[[#This Row],[الدولار]]+(Table13456781011121314151617181920212223242526[[#This Row],[اللبناني]]/90)</f>
        <v>0</v>
      </c>
      <c r="M132" s="6"/>
    </row>
    <row r="133" spans="8:13" s="8" customFormat="1" x14ac:dyDescent="0.3">
      <c r="H133" s="2" t="s">
        <v>144</v>
      </c>
      <c r="I133" s="21"/>
      <c r="J133" s="13"/>
      <c r="L133" s="26">
        <f>Table13456781011121314151617181920212223242526[[#This Row],[الدولار]]+(Table13456781011121314151617181920212223242526[[#This Row],[اللبناني]]/90)</f>
        <v>0</v>
      </c>
      <c r="M133" s="6"/>
    </row>
    <row r="134" spans="8:13" s="8" customFormat="1" x14ac:dyDescent="0.3">
      <c r="H134" s="2" t="s">
        <v>144</v>
      </c>
      <c r="I134" s="21"/>
      <c r="J134" s="13"/>
      <c r="L134" s="26">
        <f>Table13456781011121314151617181920212223242526[[#This Row],[الدولار]]+(Table13456781011121314151617181920212223242526[[#This Row],[اللبناني]]/90)</f>
        <v>0</v>
      </c>
      <c r="M134" s="6"/>
    </row>
    <row r="135" spans="8:13" s="8" customFormat="1" x14ac:dyDescent="0.3">
      <c r="H135" s="2" t="s">
        <v>144</v>
      </c>
      <c r="I135" s="21"/>
      <c r="J135" s="13"/>
      <c r="L135" s="26">
        <f>Table13456781011121314151617181920212223242526[[#This Row],[الدولار]]+(Table13456781011121314151617181920212223242526[[#This Row],[اللبناني]]/90)</f>
        <v>0</v>
      </c>
      <c r="M135" s="6"/>
    </row>
    <row r="136" spans="8:13" s="8" customFormat="1" x14ac:dyDescent="0.3">
      <c r="H136" s="2" t="s">
        <v>144</v>
      </c>
      <c r="I136" s="21"/>
      <c r="J136" s="13"/>
      <c r="L136" s="26">
        <f>Table13456781011121314151617181920212223242526[[#This Row],[الدولار]]+(Table13456781011121314151617181920212223242526[[#This Row],[اللبناني]]/90)</f>
        <v>0</v>
      </c>
      <c r="M136" s="6"/>
    </row>
    <row r="137" spans="8:13" s="8" customFormat="1" x14ac:dyDescent="0.3">
      <c r="H137" s="2" t="s">
        <v>144</v>
      </c>
      <c r="I137" s="21"/>
      <c r="J137" s="13"/>
      <c r="L137" s="26">
        <f>Table13456781011121314151617181920212223242526[[#This Row],[الدولار]]+(Table13456781011121314151617181920212223242526[[#This Row],[اللبناني]]/90)</f>
        <v>0</v>
      </c>
      <c r="M137" s="6"/>
    </row>
    <row r="138" spans="8:13" s="8" customFormat="1" x14ac:dyDescent="0.3">
      <c r="H138" s="2" t="s">
        <v>144</v>
      </c>
      <c r="I138" s="21"/>
      <c r="J138" s="13"/>
      <c r="L138" s="26">
        <f>Table13456781011121314151617181920212223242526[[#This Row],[الدولار]]+(Table13456781011121314151617181920212223242526[[#This Row],[اللبناني]]/90)</f>
        <v>0</v>
      </c>
      <c r="M138" s="6"/>
    </row>
    <row r="139" spans="8:13" s="8" customFormat="1" x14ac:dyDescent="0.3">
      <c r="H139" s="2" t="s">
        <v>144</v>
      </c>
      <c r="I139" s="21"/>
      <c r="J139" s="13"/>
      <c r="L139" s="26">
        <f>Table13456781011121314151617181920212223242526[[#This Row],[الدولار]]+(Table13456781011121314151617181920212223242526[[#This Row],[اللبناني]]/90)</f>
        <v>0</v>
      </c>
      <c r="M139" s="6"/>
    </row>
    <row r="140" spans="8:13" s="8" customFormat="1" x14ac:dyDescent="0.3">
      <c r="H140" s="2" t="s">
        <v>144</v>
      </c>
      <c r="I140" s="21"/>
      <c r="J140" s="13"/>
      <c r="L140" s="26">
        <f>Table13456781011121314151617181920212223242526[[#This Row],[الدولار]]+(Table13456781011121314151617181920212223242526[[#This Row],[اللبناني]]/90)</f>
        <v>0</v>
      </c>
      <c r="M140" s="6"/>
    </row>
    <row r="141" spans="8:13" s="8" customFormat="1" x14ac:dyDescent="0.3">
      <c r="H141" s="2" t="s">
        <v>144</v>
      </c>
      <c r="I141" s="21"/>
      <c r="J141" s="13"/>
      <c r="L141" s="26">
        <f>Table13456781011121314151617181920212223242526[[#This Row],[الدولار]]+(Table13456781011121314151617181920212223242526[[#This Row],[اللبناني]]/90)</f>
        <v>0</v>
      </c>
      <c r="M141" s="6"/>
    </row>
    <row r="142" spans="8:13" s="8" customFormat="1" x14ac:dyDescent="0.3">
      <c r="H142" s="2" t="s">
        <v>144</v>
      </c>
      <c r="I142" s="21"/>
      <c r="J142" s="13"/>
      <c r="L142" s="26">
        <f>Table13456781011121314151617181920212223242526[[#This Row],[الدولار]]+(Table13456781011121314151617181920212223242526[[#This Row],[اللبناني]]/90)</f>
        <v>0</v>
      </c>
      <c r="M142" s="6"/>
    </row>
    <row r="143" spans="8:13" s="8" customFormat="1" x14ac:dyDescent="0.3">
      <c r="H143" s="2" t="s">
        <v>144</v>
      </c>
      <c r="I143" s="21"/>
      <c r="J143" s="13"/>
      <c r="L143" s="26">
        <f>Table13456781011121314151617181920212223242526[[#This Row],[الدولار]]+(Table13456781011121314151617181920212223242526[[#This Row],[اللبناني]]/90)</f>
        <v>0</v>
      </c>
      <c r="M143" s="6"/>
    </row>
    <row r="144" spans="8:13" s="8" customFormat="1" x14ac:dyDescent="0.3">
      <c r="H144" s="2" t="s">
        <v>144</v>
      </c>
      <c r="I144" s="21"/>
      <c r="J144" s="13"/>
      <c r="L144" s="26">
        <f>Table13456781011121314151617181920212223242526[[#This Row],[الدولار]]+(Table13456781011121314151617181920212223242526[[#This Row],[اللبناني]]/90)</f>
        <v>0</v>
      </c>
      <c r="M144" s="6"/>
    </row>
    <row r="145" spans="8:13" s="8" customFormat="1" x14ac:dyDescent="0.3">
      <c r="H145" s="2" t="s">
        <v>144</v>
      </c>
      <c r="I145" s="21"/>
      <c r="J145" s="13"/>
      <c r="L145" s="26">
        <f>Table13456781011121314151617181920212223242526[[#This Row],[الدولار]]+(Table13456781011121314151617181920212223242526[[#This Row],[اللبناني]]/90)</f>
        <v>0</v>
      </c>
      <c r="M145" s="6"/>
    </row>
    <row r="146" spans="8:13" s="8" customFormat="1" x14ac:dyDescent="0.3">
      <c r="H146" s="2" t="s">
        <v>144</v>
      </c>
      <c r="I146" s="21"/>
      <c r="J146" s="13"/>
      <c r="L146" s="26">
        <f>Table13456781011121314151617181920212223242526[[#This Row],[الدولار]]+(Table13456781011121314151617181920212223242526[[#This Row],[اللبناني]]/90)</f>
        <v>0</v>
      </c>
      <c r="M146" s="6"/>
    </row>
    <row r="147" spans="8:13" s="8" customFormat="1" x14ac:dyDescent="0.3">
      <c r="H147" s="2" t="s">
        <v>144</v>
      </c>
      <c r="I147" s="21"/>
      <c r="J147" s="13"/>
      <c r="L147" s="26">
        <f>Table13456781011121314151617181920212223242526[[#This Row],[الدولار]]+(Table13456781011121314151617181920212223242526[[#This Row],[اللبناني]]/90)</f>
        <v>0</v>
      </c>
      <c r="M147" s="6"/>
    </row>
    <row r="148" spans="8:13" s="8" customFormat="1" x14ac:dyDescent="0.3">
      <c r="H148" s="2" t="s">
        <v>144</v>
      </c>
      <c r="I148" s="21"/>
      <c r="J148" s="13"/>
      <c r="L148" s="26">
        <f>Table13456781011121314151617181920212223242526[[#This Row],[الدولار]]+(Table13456781011121314151617181920212223242526[[#This Row],[اللبناني]]/90)</f>
        <v>0</v>
      </c>
      <c r="M148" s="6"/>
    </row>
    <row r="149" spans="8:13" s="8" customFormat="1" x14ac:dyDescent="0.3">
      <c r="H149" s="2" t="s">
        <v>144</v>
      </c>
      <c r="I149" s="21"/>
      <c r="J149" s="13"/>
      <c r="L149" s="26">
        <f>Table13456781011121314151617181920212223242526[[#This Row],[الدولار]]+(Table13456781011121314151617181920212223242526[[#This Row],[اللبناني]]/90)</f>
        <v>0</v>
      </c>
      <c r="M149" s="6"/>
    </row>
    <row r="150" spans="8:13" s="8" customFormat="1" x14ac:dyDescent="0.3">
      <c r="H150" s="2" t="s">
        <v>144</v>
      </c>
      <c r="I150" s="21"/>
      <c r="J150" s="13"/>
      <c r="L150" s="26">
        <f>Table13456781011121314151617181920212223242526[[#This Row],[الدولار]]+(Table13456781011121314151617181920212223242526[[#This Row],[اللبناني]]/90)</f>
        <v>0</v>
      </c>
      <c r="M150" s="6"/>
    </row>
    <row r="151" spans="8:13" s="8" customFormat="1" x14ac:dyDescent="0.3">
      <c r="H151" s="2" t="s">
        <v>144</v>
      </c>
      <c r="I151" s="21"/>
      <c r="J151" s="13"/>
      <c r="L151" s="26">
        <f>Table13456781011121314151617181920212223242526[[#This Row],[الدولار]]+(Table13456781011121314151617181920212223242526[[#This Row],[اللبناني]]/90)</f>
        <v>0</v>
      </c>
      <c r="M151" s="6"/>
    </row>
    <row r="152" spans="8:13" s="8" customFormat="1" x14ac:dyDescent="0.3">
      <c r="H152" s="2" t="s">
        <v>144</v>
      </c>
      <c r="I152" s="21"/>
      <c r="J152" s="13"/>
      <c r="L152" s="26">
        <f>Table13456781011121314151617181920212223242526[[#This Row],[الدولار]]+(Table13456781011121314151617181920212223242526[[#This Row],[اللبناني]]/90)</f>
        <v>0</v>
      </c>
      <c r="M152" s="6"/>
    </row>
    <row r="153" spans="8:13" s="8" customFormat="1" x14ac:dyDescent="0.3">
      <c r="H153" s="2" t="s">
        <v>144</v>
      </c>
      <c r="I153" s="21"/>
      <c r="J153" s="13"/>
      <c r="L153" s="26">
        <f>Table13456781011121314151617181920212223242526[[#This Row],[الدولار]]+(Table13456781011121314151617181920212223242526[[#This Row],[اللبناني]]/90)</f>
        <v>0</v>
      </c>
      <c r="M153" s="6"/>
    </row>
    <row r="154" spans="8:13" s="8" customFormat="1" x14ac:dyDescent="0.3">
      <c r="H154" s="2" t="s">
        <v>144</v>
      </c>
      <c r="I154" s="21"/>
      <c r="J154" s="13"/>
      <c r="L154" s="26">
        <f>Table13456781011121314151617181920212223242526[[#This Row],[الدولار]]+(Table13456781011121314151617181920212223242526[[#This Row],[اللبناني]]/90)</f>
        <v>0</v>
      </c>
      <c r="M154" s="6"/>
    </row>
    <row r="155" spans="8:13" s="8" customFormat="1" x14ac:dyDescent="0.3">
      <c r="H155" s="2" t="s">
        <v>144</v>
      </c>
      <c r="I155" s="21"/>
      <c r="J155" s="13"/>
      <c r="L155" s="26">
        <f>Table13456781011121314151617181920212223242526[[#This Row],[الدولار]]+(Table13456781011121314151617181920212223242526[[#This Row],[اللبناني]]/90)</f>
        <v>0</v>
      </c>
      <c r="M155" s="6"/>
    </row>
    <row r="156" spans="8:13" s="8" customFormat="1" x14ac:dyDescent="0.3">
      <c r="H156" s="2" t="s">
        <v>144</v>
      </c>
      <c r="I156" s="21"/>
      <c r="J156" s="13"/>
      <c r="L156" s="26">
        <f>Table13456781011121314151617181920212223242526[[#This Row],[الدولار]]+(Table13456781011121314151617181920212223242526[[#This Row],[اللبناني]]/90)</f>
        <v>0</v>
      </c>
      <c r="M156" s="6"/>
    </row>
    <row r="157" spans="8:13" s="8" customFormat="1" x14ac:dyDescent="0.3">
      <c r="H157" s="2" t="s">
        <v>144</v>
      </c>
      <c r="I157" s="21"/>
      <c r="J157" s="13"/>
      <c r="L157" s="26">
        <f>Table13456781011121314151617181920212223242526[[#This Row],[الدولار]]+(Table13456781011121314151617181920212223242526[[#This Row],[اللبناني]]/90)</f>
        <v>0</v>
      </c>
      <c r="M157" s="6"/>
    </row>
    <row r="158" spans="8:13" s="8" customFormat="1" x14ac:dyDescent="0.3">
      <c r="H158" s="2" t="s">
        <v>144</v>
      </c>
      <c r="I158" s="21"/>
      <c r="J158" s="13"/>
      <c r="L158" s="26">
        <f>Table13456781011121314151617181920212223242526[[#This Row],[الدولار]]+(Table13456781011121314151617181920212223242526[[#This Row],[اللبناني]]/90)</f>
        <v>0</v>
      </c>
      <c r="M158" s="6"/>
    </row>
    <row r="159" spans="8:13" s="8" customFormat="1" x14ac:dyDescent="0.3">
      <c r="H159" s="2" t="s">
        <v>144</v>
      </c>
      <c r="I159" s="21"/>
      <c r="J159" s="13"/>
      <c r="L159" s="26">
        <f>Table13456781011121314151617181920212223242526[[#This Row],[الدولار]]+(Table13456781011121314151617181920212223242526[[#This Row],[اللبناني]]/90)</f>
        <v>0</v>
      </c>
      <c r="M159" s="6"/>
    </row>
    <row r="160" spans="8:13" s="8" customFormat="1" x14ac:dyDescent="0.3">
      <c r="H160" s="2" t="s">
        <v>144</v>
      </c>
      <c r="I160" s="21"/>
      <c r="J160" s="13"/>
      <c r="L160" s="26">
        <f>Table13456781011121314151617181920212223242526[[#This Row],[الدولار]]+(Table13456781011121314151617181920212223242526[[#This Row],[اللبناني]]/90)</f>
        <v>0</v>
      </c>
      <c r="M160" s="6"/>
    </row>
    <row r="161" spans="8:13" s="8" customFormat="1" x14ac:dyDescent="0.3">
      <c r="H161" s="2" t="s">
        <v>144</v>
      </c>
      <c r="I161" s="21"/>
      <c r="J161" s="13"/>
      <c r="L161" s="26">
        <f>Table13456781011121314151617181920212223242526[[#This Row],[الدولار]]+(Table13456781011121314151617181920212223242526[[#This Row],[اللبناني]]/90)</f>
        <v>0</v>
      </c>
      <c r="M161" s="6"/>
    </row>
    <row r="162" spans="8:13" s="8" customFormat="1" x14ac:dyDescent="0.3">
      <c r="H162" s="2" t="s">
        <v>144</v>
      </c>
      <c r="I162" s="21"/>
      <c r="J162" s="13"/>
      <c r="L162" s="26">
        <f>Table13456781011121314151617181920212223242526[[#This Row],[الدولار]]+(Table13456781011121314151617181920212223242526[[#This Row],[اللبناني]]/90)</f>
        <v>0</v>
      </c>
      <c r="M162" s="6"/>
    </row>
    <row r="163" spans="8:13" s="8" customFormat="1" x14ac:dyDescent="0.3">
      <c r="H163" s="2" t="s">
        <v>144</v>
      </c>
      <c r="I163" s="21"/>
      <c r="J163" s="13"/>
      <c r="L163" s="26">
        <f>Table13456781011121314151617181920212223242526[[#This Row],[الدولار]]+(Table13456781011121314151617181920212223242526[[#This Row],[اللبناني]]/90)</f>
        <v>0</v>
      </c>
      <c r="M163" s="6"/>
    </row>
    <row r="164" spans="8:13" s="8" customFormat="1" x14ac:dyDescent="0.3">
      <c r="H164" s="2" t="s">
        <v>144</v>
      </c>
      <c r="I164" s="21"/>
      <c r="J164" s="13"/>
      <c r="L164" s="26">
        <f>Table13456781011121314151617181920212223242526[[#This Row],[الدولار]]+(Table13456781011121314151617181920212223242526[[#This Row],[اللبناني]]/90)</f>
        <v>0</v>
      </c>
      <c r="M164" s="6"/>
    </row>
    <row r="165" spans="8:13" s="8" customFormat="1" x14ac:dyDescent="0.3">
      <c r="H165" s="2" t="s">
        <v>144</v>
      </c>
      <c r="I165" s="21"/>
      <c r="J165" s="13"/>
      <c r="L165" s="26">
        <f>Table13456781011121314151617181920212223242526[[#This Row],[الدولار]]+(Table13456781011121314151617181920212223242526[[#This Row],[اللبناني]]/90)</f>
        <v>0</v>
      </c>
      <c r="M165" s="6"/>
    </row>
    <row r="166" spans="8:13" s="8" customFormat="1" x14ac:dyDescent="0.3">
      <c r="H166" s="2" t="s">
        <v>144</v>
      </c>
      <c r="I166" s="21"/>
      <c r="J166" s="13"/>
      <c r="L166" s="26">
        <f>Table13456781011121314151617181920212223242526[[#This Row],[الدولار]]+(Table13456781011121314151617181920212223242526[[#This Row],[اللبناني]]/90)</f>
        <v>0</v>
      </c>
      <c r="M166" s="6"/>
    </row>
    <row r="167" spans="8:13" s="8" customFormat="1" x14ac:dyDescent="0.3">
      <c r="H167" s="2" t="s">
        <v>144</v>
      </c>
      <c r="I167" s="21"/>
      <c r="J167" s="13"/>
      <c r="L167" s="26">
        <f>Table13456781011121314151617181920212223242526[[#This Row],[الدولار]]+(Table13456781011121314151617181920212223242526[[#This Row],[اللبناني]]/90)</f>
        <v>0</v>
      </c>
      <c r="M167" s="6"/>
    </row>
    <row r="168" spans="8:13" s="8" customFormat="1" x14ac:dyDescent="0.3">
      <c r="H168" s="2" t="s">
        <v>144</v>
      </c>
      <c r="I168" s="21"/>
      <c r="J168" s="13"/>
      <c r="L168" s="26">
        <f>Table13456781011121314151617181920212223242526[[#This Row],[الدولار]]+(Table13456781011121314151617181920212223242526[[#This Row],[اللبناني]]/90)</f>
        <v>0</v>
      </c>
      <c r="M168" s="6"/>
    </row>
    <row r="169" spans="8:13" s="8" customFormat="1" x14ac:dyDescent="0.3">
      <c r="H169" s="2" t="s">
        <v>144</v>
      </c>
      <c r="I169" s="21"/>
      <c r="J169" s="13"/>
      <c r="L169" s="26">
        <f>Table13456781011121314151617181920212223242526[[#This Row],[الدولار]]+(Table13456781011121314151617181920212223242526[[#This Row],[اللبناني]]/90)</f>
        <v>0</v>
      </c>
      <c r="M169" s="6"/>
    </row>
    <row r="170" spans="8:13" s="8" customFormat="1" x14ac:dyDescent="0.3">
      <c r="H170" s="2" t="s">
        <v>144</v>
      </c>
      <c r="I170" s="21"/>
      <c r="J170" s="13"/>
      <c r="L170" s="26">
        <f>Table13456781011121314151617181920212223242526[[#This Row],[الدولار]]+(Table13456781011121314151617181920212223242526[[#This Row],[اللبناني]]/90)</f>
        <v>0</v>
      </c>
      <c r="M170" s="6"/>
    </row>
    <row r="171" spans="8:13" s="8" customFormat="1" x14ac:dyDescent="0.3">
      <c r="H171" s="2" t="s">
        <v>144</v>
      </c>
      <c r="I171" s="21"/>
      <c r="J171" s="13"/>
      <c r="L171" s="26">
        <f>Table13456781011121314151617181920212223242526[[#This Row],[الدولار]]+(Table13456781011121314151617181920212223242526[[#This Row],[اللبناني]]/90)</f>
        <v>0</v>
      </c>
      <c r="M171" s="6"/>
    </row>
    <row r="172" spans="8:13" s="8" customFormat="1" x14ac:dyDescent="0.3">
      <c r="H172" s="2" t="s">
        <v>144</v>
      </c>
      <c r="I172" s="21"/>
      <c r="J172" s="13"/>
      <c r="L172" s="26">
        <f>Table13456781011121314151617181920212223242526[[#This Row],[الدولار]]+(Table13456781011121314151617181920212223242526[[#This Row],[اللبناني]]/90)</f>
        <v>0</v>
      </c>
      <c r="M172" s="6"/>
    </row>
    <row r="173" spans="8:13" s="8" customFormat="1" x14ac:dyDescent="0.3">
      <c r="H173" s="2" t="s">
        <v>144</v>
      </c>
      <c r="I173" s="21"/>
      <c r="J173" s="13"/>
      <c r="L173" s="26">
        <f>Table13456781011121314151617181920212223242526[[#This Row],[الدولار]]+(Table13456781011121314151617181920212223242526[[#This Row],[اللبناني]]/90)</f>
        <v>0</v>
      </c>
      <c r="M173" s="6"/>
    </row>
    <row r="174" spans="8:13" s="8" customFormat="1" x14ac:dyDescent="0.3">
      <c r="H174" s="2" t="s">
        <v>144</v>
      </c>
      <c r="I174" s="21"/>
      <c r="J174" s="13"/>
      <c r="L174" s="26">
        <f>Table13456781011121314151617181920212223242526[[#This Row],[الدولار]]+(Table13456781011121314151617181920212223242526[[#This Row],[اللبناني]]/90)</f>
        <v>0</v>
      </c>
      <c r="M174" s="6"/>
    </row>
    <row r="175" spans="8:13" s="8" customFormat="1" x14ac:dyDescent="0.3">
      <c r="H175" s="2" t="s">
        <v>144</v>
      </c>
      <c r="I175" s="21"/>
      <c r="J175" s="13"/>
      <c r="L175" s="26">
        <f>Table13456781011121314151617181920212223242526[[#This Row],[الدولار]]+(Table13456781011121314151617181920212223242526[[#This Row],[اللبناني]]/90)</f>
        <v>0</v>
      </c>
      <c r="M175" s="6"/>
    </row>
    <row r="176" spans="8:13" s="8" customFormat="1" x14ac:dyDescent="0.3">
      <c r="H176" s="2" t="s">
        <v>144</v>
      </c>
      <c r="I176" s="21"/>
      <c r="J176" s="13"/>
      <c r="L176" s="26">
        <f>Table13456781011121314151617181920212223242526[[#This Row],[الدولار]]+(Table13456781011121314151617181920212223242526[[#This Row],[اللبناني]]/90)</f>
        <v>0</v>
      </c>
      <c r="M176" s="6"/>
    </row>
    <row r="177" spans="8:13" s="8" customFormat="1" x14ac:dyDescent="0.3">
      <c r="H177" s="2" t="s">
        <v>144</v>
      </c>
      <c r="I177" s="21"/>
      <c r="J177" s="13"/>
      <c r="L177" s="26">
        <f>Table13456781011121314151617181920212223242526[[#This Row],[الدولار]]+(Table13456781011121314151617181920212223242526[[#This Row],[اللبناني]]/90)</f>
        <v>0</v>
      </c>
      <c r="M177" s="6"/>
    </row>
    <row r="178" spans="8:13" s="8" customFormat="1" x14ac:dyDescent="0.3">
      <c r="H178" s="2" t="s">
        <v>144</v>
      </c>
      <c r="I178" s="21"/>
      <c r="J178" s="13"/>
      <c r="L178" s="26">
        <f>Table13456781011121314151617181920212223242526[[#This Row],[الدولار]]+(Table13456781011121314151617181920212223242526[[#This Row],[اللبناني]]/90)</f>
        <v>0</v>
      </c>
      <c r="M178" s="6"/>
    </row>
    <row r="179" spans="8:13" s="8" customFormat="1" x14ac:dyDescent="0.3">
      <c r="H179" s="2" t="s">
        <v>144</v>
      </c>
      <c r="I179" s="21"/>
      <c r="J179" s="13"/>
      <c r="L179" s="26">
        <f>Table13456781011121314151617181920212223242526[[#This Row],[الدولار]]+(Table13456781011121314151617181920212223242526[[#This Row],[اللبناني]]/90)</f>
        <v>0</v>
      </c>
      <c r="M179" s="6"/>
    </row>
    <row r="180" spans="8:13" s="8" customFormat="1" x14ac:dyDescent="0.3">
      <c r="H180" s="2" t="s">
        <v>144</v>
      </c>
      <c r="I180" s="21"/>
      <c r="J180" s="13"/>
      <c r="L180" s="26">
        <f>Table13456781011121314151617181920212223242526[[#This Row],[الدولار]]+(Table13456781011121314151617181920212223242526[[#This Row],[اللبناني]]/90)</f>
        <v>0</v>
      </c>
      <c r="M180" s="6"/>
    </row>
    <row r="181" spans="8:13" s="8" customFormat="1" x14ac:dyDescent="0.3">
      <c r="H181" s="2" t="s">
        <v>144</v>
      </c>
      <c r="I181" s="21"/>
      <c r="J181" s="13"/>
      <c r="L181" s="26">
        <f>Table13456781011121314151617181920212223242526[[#This Row],[الدولار]]+(Table13456781011121314151617181920212223242526[[#This Row],[اللبناني]]/90)</f>
        <v>0</v>
      </c>
      <c r="M181" s="6"/>
    </row>
    <row r="182" spans="8:13" s="8" customFormat="1" x14ac:dyDescent="0.3">
      <c r="H182" s="2" t="s">
        <v>144</v>
      </c>
      <c r="I182" s="21"/>
      <c r="J182" s="13"/>
      <c r="L182" s="26">
        <f>Table13456781011121314151617181920212223242526[[#This Row],[الدولار]]+(Table13456781011121314151617181920212223242526[[#This Row],[اللبناني]]/90)</f>
        <v>0</v>
      </c>
      <c r="M182" s="6"/>
    </row>
    <row r="183" spans="8:13" s="8" customFormat="1" x14ac:dyDescent="0.3">
      <c r="H183" s="2" t="s">
        <v>144</v>
      </c>
      <c r="I183" s="21"/>
      <c r="J183" s="13"/>
      <c r="L183" s="26">
        <f>Table13456781011121314151617181920212223242526[[#This Row],[الدولار]]+(Table13456781011121314151617181920212223242526[[#This Row],[اللبناني]]/90)</f>
        <v>0</v>
      </c>
      <c r="M183" s="6"/>
    </row>
    <row r="184" spans="8:13" s="8" customFormat="1" x14ac:dyDescent="0.3">
      <c r="H184" s="2" t="s">
        <v>144</v>
      </c>
      <c r="I184" s="21"/>
      <c r="J184" s="13"/>
      <c r="L184" s="26">
        <f>Table13456781011121314151617181920212223242526[[#This Row],[الدولار]]+(Table13456781011121314151617181920212223242526[[#This Row],[اللبناني]]/90)</f>
        <v>0</v>
      </c>
      <c r="M184" s="6"/>
    </row>
    <row r="185" spans="8:13" s="8" customFormat="1" x14ac:dyDescent="0.3">
      <c r="H185" s="2" t="s">
        <v>144</v>
      </c>
      <c r="I185" s="21"/>
      <c r="J185" s="13"/>
      <c r="L185" s="26">
        <f>Table13456781011121314151617181920212223242526[[#This Row],[الدولار]]+(Table13456781011121314151617181920212223242526[[#This Row],[اللبناني]]/90)</f>
        <v>0</v>
      </c>
      <c r="M185" s="6"/>
    </row>
    <row r="186" spans="8:13" s="8" customFormat="1" x14ac:dyDescent="0.3">
      <c r="H186" s="2" t="s">
        <v>144</v>
      </c>
      <c r="I186" s="21"/>
      <c r="J186" s="13"/>
      <c r="L186" s="26">
        <f>Table13456781011121314151617181920212223242526[[#This Row],[الدولار]]+(Table13456781011121314151617181920212223242526[[#This Row],[اللبناني]]/90)</f>
        <v>0</v>
      </c>
      <c r="M186" s="6"/>
    </row>
    <row r="187" spans="8:13" s="8" customFormat="1" x14ac:dyDescent="0.3">
      <c r="H187" s="2" t="s">
        <v>144</v>
      </c>
      <c r="I187" s="21"/>
      <c r="J187" s="13"/>
      <c r="L187" s="26">
        <f>Table13456781011121314151617181920212223242526[[#This Row],[الدولار]]+(Table13456781011121314151617181920212223242526[[#This Row],[اللبناني]]/90)</f>
        <v>0</v>
      </c>
      <c r="M187" s="6"/>
    </row>
    <row r="188" spans="8:13" s="8" customFormat="1" x14ac:dyDescent="0.3">
      <c r="H188" s="2" t="s">
        <v>144</v>
      </c>
      <c r="I188" s="21"/>
      <c r="J188" s="13"/>
      <c r="L188" s="26">
        <f>Table13456781011121314151617181920212223242526[[#This Row],[الدولار]]+(Table13456781011121314151617181920212223242526[[#This Row],[اللبناني]]/90)</f>
        <v>0</v>
      </c>
      <c r="M188" s="6"/>
    </row>
    <row r="189" spans="8:13" s="8" customFormat="1" x14ac:dyDescent="0.3">
      <c r="H189" s="2" t="s">
        <v>144</v>
      </c>
      <c r="I189" s="21"/>
      <c r="J189" s="13"/>
      <c r="L189" s="26">
        <f>Table13456781011121314151617181920212223242526[[#This Row],[الدولار]]+(Table13456781011121314151617181920212223242526[[#This Row],[اللبناني]]/90)</f>
        <v>0</v>
      </c>
      <c r="M189" s="6"/>
    </row>
    <row r="190" spans="8:13" s="8" customFormat="1" x14ac:dyDescent="0.3">
      <c r="H190" s="2" t="s">
        <v>144</v>
      </c>
      <c r="I190" s="21"/>
      <c r="J190" s="13"/>
      <c r="L190" s="26">
        <f>Table13456781011121314151617181920212223242526[[#This Row],[الدولار]]+(Table13456781011121314151617181920212223242526[[#This Row],[اللبناني]]/90)</f>
        <v>0</v>
      </c>
      <c r="M190" s="6"/>
    </row>
    <row r="191" spans="8:13" s="8" customFormat="1" x14ac:dyDescent="0.3">
      <c r="H191" s="2" t="s">
        <v>144</v>
      </c>
      <c r="I191" s="21"/>
      <c r="J191" s="13"/>
      <c r="L191" s="26">
        <f>Table13456781011121314151617181920212223242526[[#This Row],[الدولار]]+(Table13456781011121314151617181920212223242526[[#This Row],[اللبناني]]/90)</f>
        <v>0</v>
      </c>
      <c r="M191" s="6"/>
    </row>
    <row r="192" spans="8:13" s="8" customFormat="1" x14ac:dyDescent="0.3">
      <c r="H192" s="2" t="s">
        <v>144</v>
      </c>
      <c r="I192" s="21"/>
      <c r="J192" s="13"/>
      <c r="L192" s="26">
        <f>Table13456781011121314151617181920212223242526[[#This Row],[الدولار]]+(Table13456781011121314151617181920212223242526[[#This Row],[اللبناني]]/90)</f>
        <v>0</v>
      </c>
      <c r="M192" s="6"/>
    </row>
    <row r="193" spans="8:13" s="8" customFormat="1" x14ac:dyDescent="0.3">
      <c r="H193" s="2" t="s">
        <v>144</v>
      </c>
      <c r="I193" s="21"/>
      <c r="J193" s="13"/>
      <c r="L193" s="26">
        <f>Table13456781011121314151617181920212223242526[[#This Row],[الدولار]]+(Table13456781011121314151617181920212223242526[[#This Row],[اللبناني]]/90)</f>
        <v>0</v>
      </c>
      <c r="M193" s="6"/>
    </row>
    <row r="194" spans="8:13" s="8" customFormat="1" x14ac:dyDescent="0.3">
      <c r="H194" s="2" t="s">
        <v>144</v>
      </c>
      <c r="I194" s="21"/>
      <c r="J194" s="13"/>
      <c r="L194" s="26">
        <f>Table13456781011121314151617181920212223242526[[#This Row],[الدولار]]+(Table13456781011121314151617181920212223242526[[#This Row],[اللبناني]]/90)</f>
        <v>0</v>
      </c>
      <c r="M194" s="6"/>
    </row>
    <row r="195" spans="8:13" s="8" customFormat="1" x14ac:dyDescent="0.3">
      <c r="H195" s="2" t="s">
        <v>144</v>
      </c>
      <c r="I195" s="21"/>
      <c r="J195" s="13"/>
      <c r="L195" s="26">
        <f>Table13456781011121314151617181920212223242526[[#This Row],[الدولار]]+(Table13456781011121314151617181920212223242526[[#This Row],[اللبناني]]/90)</f>
        <v>0</v>
      </c>
      <c r="M195" s="6"/>
    </row>
    <row r="196" spans="8:13" s="8" customFormat="1" x14ac:dyDescent="0.3">
      <c r="H196" s="2" t="s">
        <v>144</v>
      </c>
      <c r="I196" s="21"/>
      <c r="J196" s="13"/>
      <c r="L196" s="26">
        <f>Table13456781011121314151617181920212223242526[[#This Row],[الدولار]]+(Table13456781011121314151617181920212223242526[[#This Row],[اللبناني]]/90)</f>
        <v>0</v>
      </c>
      <c r="M196" s="6"/>
    </row>
    <row r="197" spans="8:13" s="8" customFormat="1" x14ac:dyDescent="0.3">
      <c r="H197" s="2" t="s">
        <v>144</v>
      </c>
      <c r="I197" s="21"/>
      <c r="J197" s="13"/>
      <c r="L197" s="26">
        <f>Table13456781011121314151617181920212223242526[[#This Row],[الدولار]]+(Table13456781011121314151617181920212223242526[[#This Row],[اللبناني]]/90)</f>
        <v>0</v>
      </c>
      <c r="M197" s="6"/>
    </row>
    <row r="198" spans="8:13" s="8" customFormat="1" x14ac:dyDescent="0.3">
      <c r="H198" s="2" t="s">
        <v>144</v>
      </c>
      <c r="I198" s="21"/>
      <c r="J198" s="13"/>
      <c r="L198" s="26">
        <f>Table13456781011121314151617181920212223242526[[#This Row],[الدولار]]+(Table13456781011121314151617181920212223242526[[#This Row],[اللبناني]]/90)</f>
        <v>0</v>
      </c>
      <c r="M198" s="6"/>
    </row>
    <row r="199" spans="8:13" s="8" customFormat="1" x14ac:dyDescent="0.3">
      <c r="H199" s="2" t="s">
        <v>144</v>
      </c>
      <c r="I199" s="21"/>
      <c r="J199" s="13"/>
      <c r="L199" s="26">
        <f>Table13456781011121314151617181920212223242526[[#This Row],[الدولار]]+(Table13456781011121314151617181920212223242526[[#This Row],[اللبناني]]/90)</f>
        <v>0</v>
      </c>
      <c r="M199" s="6"/>
    </row>
    <row r="200" spans="8:13" s="8" customFormat="1" x14ac:dyDescent="0.3">
      <c r="H200" s="2" t="s">
        <v>144</v>
      </c>
      <c r="I200" s="21"/>
      <c r="J200" s="13"/>
      <c r="L200" s="26">
        <f>Table13456781011121314151617181920212223242526[[#This Row],[الدولار]]+(Table13456781011121314151617181920212223242526[[#This Row],[اللبناني]]/90)</f>
        <v>0</v>
      </c>
      <c r="M200" s="6"/>
    </row>
    <row r="201" spans="8:13" s="8" customFormat="1" x14ac:dyDescent="0.3">
      <c r="H201" s="2" t="s">
        <v>144</v>
      </c>
      <c r="I201" s="21"/>
      <c r="J201" s="13"/>
      <c r="L201" s="26">
        <f>Table13456781011121314151617181920212223242526[[#This Row],[الدولار]]+(Table13456781011121314151617181920212223242526[[#This Row],[اللبناني]]/90)</f>
        <v>0</v>
      </c>
      <c r="M201" s="6"/>
    </row>
    <row r="202" spans="8:13" s="8" customFormat="1" x14ac:dyDescent="0.3">
      <c r="H202" s="2" t="s">
        <v>144</v>
      </c>
      <c r="I202" s="21"/>
      <c r="J202" s="13"/>
      <c r="L202" s="26">
        <f>Table13456781011121314151617181920212223242526[[#This Row],[الدولار]]+(Table13456781011121314151617181920212223242526[[#This Row],[اللبناني]]/90)</f>
        <v>0</v>
      </c>
      <c r="M202" s="6"/>
    </row>
    <row r="203" spans="8:13" s="8" customFormat="1" x14ac:dyDescent="0.3">
      <c r="H203" s="2" t="s">
        <v>144</v>
      </c>
      <c r="I203" s="21"/>
      <c r="J203" s="13"/>
      <c r="L203" s="26">
        <f>Table13456781011121314151617181920212223242526[[#This Row],[الدولار]]+(Table13456781011121314151617181920212223242526[[#This Row],[اللبناني]]/90)</f>
        <v>0</v>
      </c>
      <c r="M203" s="6"/>
    </row>
    <row r="204" spans="8:13" s="8" customFormat="1" x14ac:dyDescent="0.3">
      <c r="H204" s="2" t="s">
        <v>144</v>
      </c>
      <c r="I204" s="21"/>
      <c r="J204" s="13"/>
      <c r="L204" s="26">
        <f>Table13456781011121314151617181920212223242526[[#This Row],[الدولار]]+(Table13456781011121314151617181920212223242526[[#This Row],[اللبناني]]/90)</f>
        <v>0</v>
      </c>
      <c r="M204" s="6"/>
    </row>
    <row r="205" spans="8:13" s="8" customFormat="1" x14ac:dyDescent="0.3">
      <c r="H205" s="2" t="s">
        <v>144</v>
      </c>
      <c r="I205" s="21"/>
      <c r="J205" s="13"/>
      <c r="L205" s="26">
        <f>Table13456781011121314151617181920212223242526[[#This Row],[الدولار]]+(Table13456781011121314151617181920212223242526[[#This Row],[اللبناني]]/90)</f>
        <v>0</v>
      </c>
      <c r="M205" s="6"/>
    </row>
    <row r="206" spans="8:13" s="8" customFormat="1" x14ac:dyDescent="0.3">
      <c r="H206" s="2" t="s">
        <v>144</v>
      </c>
      <c r="I206" s="21"/>
      <c r="J206" s="13"/>
      <c r="L206" s="26">
        <f>Table13456781011121314151617181920212223242526[[#This Row],[الدولار]]+(Table13456781011121314151617181920212223242526[[#This Row],[اللبناني]]/90)</f>
        <v>0</v>
      </c>
      <c r="M206" s="6"/>
    </row>
    <row r="207" spans="8:13" s="8" customFormat="1" x14ac:dyDescent="0.3">
      <c r="H207" s="2" t="s">
        <v>144</v>
      </c>
      <c r="I207" s="21"/>
      <c r="J207" s="13"/>
      <c r="L207" s="26">
        <f>Table13456781011121314151617181920212223242526[[#This Row],[الدولار]]+(Table13456781011121314151617181920212223242526[[#This Row],[اللبناني]]/90)</f>
        <v>0</v>
      </c>
      <c r="M207" s="6"/>
    </row>
    <row r="208" spans="8:13" s="8" customFormat="1" x14ac:dyDescent="0.3">
      <c r="H208" s="2" t="s">
        <v>144</v>
      </c>
      <c r="I208" s="21"/>
      <c r="J208" s="13"/>
      <c r="L208" s="26">
        <f>Table13456781011121314151617181920212223242526[[#This Row],[الدولار]]+(Table13456781011121314151617181920212223242526[[#This Row],[اللبناني]]/90)</f>
        <v>0</v>
      </c>
      <c r="M208" s="6"/>
    </row>
    <row r="209" spans="8:13" s="8" customFormat="1" x14ac:dyDescent="0.3">
      <c r="H209" s="2" t="s">
        <v>144</v>
      </c>
      <c r="I209" s="21"/>
      <c r="J209" s="13"/>
      <c r="L209" s="26">
        <f>Table13456781011121314151617181920212223242526[[#This Row],[الدولار]]+(Table13456781011121314151617181920212223242526[[#This Row],[اللبناني]]/90)</f>
        <v>0</v>
      </c>
      <c r="M209" s="6"/>
    </row>
    <row r="210" spans="8:13" s="8" customFormat="1" x14ac:dyDescent="0.3">
      <c r="H210" s="2" t="s">
        <v>144</v>
      </c>
      <c r="I210" s="21"/>
      <c r="J210" s="13"/>
      <c r="L210" s="26">
        <f>Table13456781011121314151617181920212223242526[[#This Row],[الدولار]]+(Table13456781011121314151617181920212223242526[[#This Row],[اللبناني]]/90)</f>
        <v>0</v>
      </c>
      <c r="M210" s="6"/>
    </row>
    <row r="211" spans="8:13" s="8" customFormat="1" x14ac:dyDescent="0.3">
      <c r="H211" s="2" t="s">
        <v>144</v>
      </c>
      <c r="I211" s="21"/>
      <c r="J211" s="13"/>
      <c r="L211" s="26">
        <f>Table13456781011121314151617181920212223242526[[#This Row],[الدولار]]+(Table13456781011121314151617181920212223242526[[#This Row],[اللبناني]]/90)</f>
        <v>0</v>
      </c>
      <c r="M211" s="6"/>
    </row>
    <row r="212" spans="8:13" s="8" customFormat="1" x14ac:dyDescent="0.3">
      <c r="H212" s="2" t="s">
        <v>144</v>
      </c>
      <c r="I212" s="21"/>
      <c r="J212" s="13"/>
      <c r="L212" s="26">
        <f>Table13456781011121314151617181920212223242526[[#This Row],[الدولار]]+(Table13456781011121314151617181920212223242526[[#This Row],[اللبناني]]/90)</f>
        <v>0</v>
      </c>
      <c r="M212" s="6"/>
    </row>
    <row r="213" spans="8:13" s="8" customFormat="1" x14ac:dyDescent="0.3">
      <c r="H213" s="2" t="s">
        <v>144</v>
      </c>
      <c r="I213" s="21"/>
      <c r="J213" s="13"/>
      <c r="L213" s="26">
        <f>Table13456781011121314151617181920212223242526[[#This Row],[الدولار]]+(Table13456781011121314151617181920212223242526[[#This Row],[اللبناني]]/90)</f>
        <v>0</v>
      </c>
      <c r="M213" s="6"/>
    </row>
    <row r="214" spans="8:13" s="8" customFormat="1" x14ac:dyDescent="0.3">
      <c r="H214" s="2" t="s">
        <v>144</v>
      </c>
      <c r="I214" s="21"/>
      <c r="J214" s="13"/>
      <c r="L214" s="26">
        <f>Table13456781011121314151617181920212223242526[[#This Row],[الدولار]]+(Table13456781011121314151617181920212223242526[[#This Row],[اللبناني]]/90)</f>
        <v>0</v>
      </c>
      <c r="M214" s="6"/>
    </row>
    <row r="215" spans="8:13" s="8" customFormat="1" x14ac:dyDescent="0.3">
      <c r="H215" s="2" t="s">
        <v>144</v>
      </c>
      <c r="I215" s="21"/>
      <c r="J215" s="13"/>
      <c r="L215" s="26">
        <f>Table13456781011121314151617181920212223242526[[#This Row],[الدولار]]+(Table13456781011121314151617181920212223242526[[#This Row],[اللبناني]]/90)</f>
        <v>0</v>
      </c>
      <c r="M215" s="6"/>
    </row>
    <row r="216" spans="8:13" s="8" customFormat="1" x14ac:dyDescent="0.3">
      <c r="H216" s="2" t="s">
        <v>144</v>
      </c>
      <c r="I216" s="21"/>
      <c r="J216" s="13"/>
      <c r="L216" s="26">
        <f>Table13456781011121314151617181920212223242526[[#This Row],[الدولار]]+(Table13456781011121314151617181920212223242526[[#This Row],[اللبناني]]/90)</f>
        <v>0</v>
      </c>
      <c r="M216" s="6"/>
    </row>
    <row r="217" spans="8:13" s="8" customFormat="1" x14ac:dyDescent="0.3">
      <c r="H217" s="2" t="s">
        <v>144</v>
      </c>
      <c r="I217" s="21"/>
      <c r="J217" s="13"/>
      <c r="L217" s="26">
        <f>Table13456781011121314151617181920212223242526[[#This Row],[الدولار]]+(Table13456781011121314151617181920212223242526[[#This Row],[اللبناني]]/90)</f>
        <v>0</v>
      </c>
      <c r="M217" s="6"/>
    </row>
    <row r="218" spans="8:13" s="8" customFormat="1" x14ac:dyDescent="0.3">
      <c r="H218" s="2" t="s">
        <v>144</v>
      </c>
      <c r="I218" s="21"/>
      <c r="J218" s="13"/>
      <c r="L218" s="26">
        <f>Table13456781011121314151617181920212223242526[[#This Row],[الدولار]]+(Table13456781011121314151617181920212223242526[[#This Row],[اللبناني]]/90)</f>
        <v>0</v>
      </c>
      <c r="M218" s="6"/>
    </row>
    <row r="219" spans="8:13" s="8" customFormat="1" x14ac:dyDescent="0.3">
      <c r="H219" s="2" t="s">
        <v>144</v>
      </c>
      <c r="I219" s="21"/>
      <c r="J219" s="13"/>
      <c r="L219" s="26">
        <f>Table13456781011121314151617181920212223242526[[#This Row],[الدولار]]+(Table13456781011121314151617181920212223242526[[#This Row],[اللبناني]]/90)</f>
        <v>0</v>
      </c>
      <c r="M219" s="6"/>
    </row>
    <row r="220" spans="8:13" s="8" customFormat="1" x14ac:dyDescent="0.3">
      <c r="H220" s="2" t="s">
        <v>144</v>
      </c>
      <c r="I220" s="21"/>
      <c r="J220" s="13"/>
      <c r="L220" s="26">
        <f>Table13456781011121314151617181920212223242526[[#This Row],[الدولار]]+(Table13456781011121314151617181920212223242526[[#This Row],[اللبناني]]/90)</f>
        <v>0</v>
      </c>
      <c r="M220" s="6"/>
    </row>
    <row r="221" spans="8:13" s="8" customFormat="1" x14ac:dyDescent="0.3">
      <c r="H221" s="2" t="s">
        <v>144</v>
      </c>
      <c r="I221" s="21"/>
      <c r="J221" s="13"/>
      <c r="L221" s="26">
        <f>Table13456781011121314151617181920212223242526[[#This Row],[الدولار]]+(Table13456781011121314151617181920212223242526[[#This Row],[اللبناني]]/90)</f>
        <v>0</v>
      </c>
      <c r="M221" s="6"/>
    </row>
    <row r="222" spans="8:13" s="8" customFormat="1" x14ac:dyDescent="0.3">
      <c r="H222" s="2" t="s">
        <v>144</v>
      </c>
      <c r="I222" s="21"/>
      <c r="J222" s="13"/>
      <c r="L222" s="26">
        <f>Table13456781011121314151617181920212223242526[[#This Row],[الدولار]]+(Table13456781011121314151617181920212223242526[[#This Row],[اللبناني]]/90)</f>
        <v>0</v>
      </c>
      <c r="M222" s="6"/>
    </row>
    <row r="223" spans="8:13" s="8" customFormat="1" x14ac:dyDescent="0.3">
      <c r="H223" s="2" t="s">
        <v>144</v>
      </c>
      <c r="I223" s="21"/>
      <c r="J223" s="13"/>
      <c r="L223" s="26">
        <f>Table13456781011121314151617181920212223242526[[#This Row],[الدولار]]+(Table13456781011121314151617181920212223242526[[#This Row],[اللبناني]]/90)</f>
        <v>0</v>
      </c>
      <c r="M223" s="6"/>
    </row>
    <row r="224" spans="8:13" s="8" customFormat="1" x14ac:dyDescent="0.3">
      <c r="H224" s="2" t="s">
        <v>144</v>
      </c>
      <c r="I224" s="21"/>
      <c r="J224" s="13"/>
      <c r="L224" s="26">
        <f>Table13456781011121314151617181920212223242526[[#This Row],[الدولار]]+(Table13456781011121314151617181920212223242526[[#This Row],[اللبناني]]/90)</f>
        <v>0</v>
      </c>
      <c r="M224" s="6"/>
    </row>
    <row r="225" spans="8:13" s="8" customFormat="1" x14ac:dyDescent="0.3">
      <c r="H225" s="2" t="s">
        <v>144</v>
      </c>
      <c r="I225" s="21"/>
      <c r="J225" s="13"/>
      <c r="L225" s="26">
        <f>Table13456781011121314151617181920212223242526[[#This Row],[الدولار]]+(Table13456781011121314151617181920212223242526[[#This Row],[اللبناني]]/90)</f>
        <v>0</v>
      </c>
      <c r="M225" s="6"/>
    </row>
    <row r="226" spans="8:13" s="8" customFormat="1" x14ac:dyDescent="0.3">
      <c r="H226" s="2" t="s">
        <v>144</v>
      </c>
      <c r="I226" s="21"/>
      <c r="J226" s="13"/>
      <c r="L226" s="26">
        <f>Table13456781011121314151617181920212223242526[[#This Row],[الدولار]]+(Table13456781011121314151617181920212223242526[[#This Row],[اللبناني]]/90)</f>
        <v>0</v>
      </c>
      <c r="M226" s="6"/>
    </row>
    <row r="227" spans="8:13" s="8" customFormat="1" x14ac:dyDescent="0.3">
      <c r="H227" s="2" t="s">
        <v>144</v>
      </c>
      <c r="I227" s="21"/>
      <c r="J227" s="13"/>
      <c r="L227" s="26">
        <f>Table13456781011121314151617181920212223242526[[#This Row],[الدولار]]+(Table13456781011121314151617181920212223242526[[#This Row],[اللبناني]]/90)</f>
        <v>0</v>
      </c>
      <c r="M227" s="6"/>
    </row>
    <row r="228" spans="8:13" s="8" customFormat="1" x14ac:dyDescent="0.3">
      <c r="H228" s="2" t="s">
        <v>144</v>
      </c>
      <c r="I228" s="21"/>
      <c r="J228" s="13"/>
      <c r="L228" s="26">
        <f>Table13456781011121314151617181920212223242526[[#This Row],[الدولار]]+(Table13456781011121314151617181920212223242526[[#This Row],[اللبناني]]/90)</f>
        <v>0</v>
      </c>
      <c r="M228" s="6"/>
    </row>
    <row r="229" spans="8:13" s="8" customFormat="1" x14ac:dyDescent="0.3">
      <c r="H229" s="2" t="s">
        <v>144</v>
      </c>
      <c r="I229" s="21"/>
      <c r="J229" s="13"/>
      <c r="L229" s="26">
        <f>Table13456781011121314151617181920212223242526[[#This Row],[الدولار]]+(Table13456781011121314151617181920212223242526[[#This Row],[اللبناني]]/90)</f>
        <v>0</v>
      </c>
      <c r="M229" s="6"/>
    </row>
    <row r="230" spans="8:13" s="8" customFormat="1" x14ac:dyDescent="0.3">
      <c r="H230" s="2" t="s">
        <v>144</v>
      </c>
      <c r="I230" s="21"/>
      <c r="J230" s="13"/>
      <c r="L230" s="26">
        <f>Table13456781011121314151617181920212223242526[[#This Row],[الدولار]]+(Table13456781011121314151617181920212223242526[[#This Row],[اللبناني]]/90)</f>
        <v>0</v>
      </c>
      <c r="M230" s="6"/>
    </row>
    <row r="231" spans="8:13" s="8" customFormat="1" x14ac:dyDescent="0.3">
      <c r="H231" s="2" t="s">
        <v>144</v>
      </c>
      <c r="I231" s="21"/>
      <c r="J231" s="13"/>
      <c r="L231" s="26">
        <f>Table13456781011121314151617181920212223242526[[#This Row],[الدولار]]+(Table13456781011121314151617181920212223242526[[#This Row],[اللبناني]]/90)</f>
        <v>0</v>
      </c>
      <c r="M231" s="6"/>
    </row>
    <row r="232" spans="8:13" s="8" customFormat="1" x14ac:dyDescent="0.3">
      <c r="H232" s="2" t="s">
        <v>144</v>
      </c>
      <c r="I232" s="21"/>
      <c r="J232" s="13"/>
      <c r="L232" s="26">
        <f>Table13456781011121314151617181920212223242526[[#This Row],[الدولار]]+(Table13456781011121314151617181920212223242526[[#This Row],[اللبناني]]/90)</f>
        <v>0</v>
      </c>
      <c r="M232" s="6"/>
    </row>
    <row r="233" spans="8:13" s="8" customFormat="1" x14ac:dyDescent="0.3">
      <c r="H233" s="2" t="s">
        <v>144</v>
      </c>
      <c r="I233" s="21"/>
      <c r="J233" s="13"/>
      <c r="L233" s="26">
        <f>Table13456781011121314151617181920212223242526[[#This Row],[الدولار]]+(Table13456781011121314151617181920212223242526[[#This Row],[اللبناني]]/90)</f>
        <v>0</v>
      </c>
      <c r="M233" s="6"/>
    </row>
    <row r="234" spans="8:13" s="8" customFormat="1" x14ac:dyDescent="0.3">
      <c r="H234" s="2" t="s">
        <v>144</v>
      </c>
      <c r="I234" s="21"/>
      <c r="J234" s="13"/>
      <c r="L234" s="26">
        <f>Table13456781011121314151617181920212223242526[[#This Row],[الدولار]]+(Table13456781011121314151617181920212223242526[[#This Row],[اللبناني]]/90)</f>
        <v>0</v>
      </c>
      <c r="M234" s="6"/>
    </row>
    <row r="235" spans="8:13" s="8" customFormat="1" x14ac:dyDescent="0.3">
      <c r="H235" s="2" t="s">
        <v>144</v>
      </c>
      <c r="I235" s="21"/>
      <c r="J235" s="13"/>
      <c r="L235" s="26">
        <f>Table13456781011121314151617181920212223242526[[#This Row],[الدولار]]+(Table13456781011121314151617181920212223242526[[#This Row],[اللبناني]]/90)</f>
        <v>0</v>
      </c>
      <c r="M235" s="6"/>
    </row>
    <row r="236" spans="8:13" s="8" customFormat="1" x14ac:dyDescent="0.3">
      <c r="H236" s="2" t="s">
        <v>144</v>
      </c>
      <c r="I236" s="21"/>
      <c r="J236" s="13"/>
      <c r="L236" s="26">
        <f>Table13456781011121314151617181920212223242526[[#This Row],[الدولار]]+(Table13456781011121314151617181920212223242526[[#This Row],[اللبناني]]/90)</f>
        <v>0</v>
      </c>
      <c r="M236" s="6"/>
    </row>
    <row r="237" spans="8:13" s="8" customFormat="1" x14ac:dyDescent="0.3">
      <c r="H237" s="2" t="s">
        <v>144</v>
      </c>
      <c r="I237" s="21"/>
      <c r="J237" s="13"/>
      <c r="L237" s="26">
        <f>Table13456781011121314151617181920212223242526[[#This Row],[الدولار]]+(Table13456781011121314151617181920212223242526[[#This Row],[اللبناني]]/90)</f>
        <v>0</v>
      </c>
      <c r="M237" s="6"/>
    </row>
    <row r="238" spans="8:13" s="8" customFormat="1" x14ac:dyDescent="0.3">
      <c r="H238" s="2" t="s">
        <v>144</v>
      </c>
      <c r="I238" s="21"/>
      <c r="J238" s="13"/>
      <c r="L238" s="26">
        <f>Table13456781011121314151617181920212223242526[[#This Row],[الدولار]]+(Table13456781011121314151617181920212223242526[[#This Row],[اللبناني]]/90)</f>
        <v>0</v>
      </c>
      <c r="M238" s="6"/>
    </row>
    <row r="239" spans="8:13" s="8" customFormat="1" x14ac:dyDescent="0.3">
      <c r="H239" s="2" t="s">
        <v>144</v>
      </c>
      <c r="I239" s="21"/>
      <c r="J239" s="13"/>
      <c r="L239" s="26">
        <f>Table13456781011121314151617181920212223242526[[#This Row],[الدولار]]+(Table13456781011121314151617181920212223242526[[#This Row],[اللبناني]]/90)</f>
        <v>0</v>
      </c>
      <c r="M239" s="6"/>
    </row>
    <row r="240" spans="8:13" s="8" customFormat="1" x14ac:dyDescent="0.3">
      <c r="H240" s="2" t="s">
        <v>144</v>
      </c>
      <c r="I240" s="21"/>
      <c r="J240" s="13"/>
      <c r="L240" s="26">
        <f>Table13456781011121314151617181920212223242526[[#This Row],[الدولار]]+(Table13456781011121314151617181920212223242526[[#This Row],[اللبناني]]/90)</f>
        <v>0</v>
      </c>
      <c r="M240" s="6"/>
    </row>
    <row r="241" spans="8:13" s="8" customFormat="1" x14ac:dyDescent="0.3">
      <c r="H241" s="2" t="s">
        <v>144</v>
      </c>
      <c r="I241" s="21"/>
      <c r="J241" s="13"/>
      <c r="L241" s="26">
        <f>Table13456781011121314151617181920212223242526[[#This Row],[الدولار]]+(Table13456781011121314151617181920212223242526[[#This Row],[اللبناني]]/90)</f>
        <v>0</v>
      </c>
      <c r="M241" s="6"/>
    </row>
    <row r="242" spans="8:13" s="8" customFormat="1" x14ac:dyDescent="0.3">
      <c r="H242" s="2" t="s">
        <v>144</v>
      </c>
      <c r="I242" s="21"/>
      <c r="J242" s="13"/>
      <c r="L242" s="26">
        <f>Table13456781011121314151617181920212223242526[[#This Row],[الدولار]]+(Table13456781011121314151617181920212223242526[[#This Row],[اللبناني]]/90)</f>
        <v>0</v>
      </c>
      <c r="M242" s="6"/>
    </row>
    <row r="243" spans="8:13" s="8" customFormat="1" x14ac:dyDescent="0.3">
      <c r="H243" s="2" t="s">
        <v>144</v>
      </c>
      <c r="I243" s="21"/>
      <c r="J243" s="13"/>
      <c r="L243" s="26">
        <f>Table13456781011121314151617181920212223242526[[#This Row],[الدولار]]+(Table13456781011121314151617181920212223242526[[#This Row],[اللبناني]]/90)</f>
        <v>0</v>
      </c>
      <c r="M243" s="6"/>
    </row>
    <row r="244" spans="8:13" s="8" customFormat="1" x14ac:dyDescent="0.3">
      <c r="H244" s="2" t="s">
        <v>144</v>
      </c>
      <c r="I244" s="21"/>
      <c r="J244" s="13"/>
      <c r="L244" s="26">
        <f>Table13456781011121314151617181920212223242526[[#This Row],[الدولار]]+(Table13456781011121314151617181920212223242526[[#This Row],[اللبناني]]/90)</f>
        <v>0</v>
      </c>
      <c r="M244" s="6"/>
    </row>
    <row r="245" spans="8:13" s="8" customFormat="1" x14ac:dyDescent="0.3">
      <c r="H245" s="2" t="s">
        <v>144</v>
      </c>
      <c r="I245" s="21"/>
      <c r="J245" s="13"/>
      <c r="L245" s="26">
        <f>Table13456781011121314151617181920212223242526[[#This Row],[الدولار]]+(Table13456781011121314151617181920212223242526[[#This Row],[اللبناني]]/90)</f>
        <v>0</v>
      </c>
      <c r="M245" s="6"/>
    </row>
    <row r="246" spans="8:13" s="8" customFormat="1" x14ac:dyDescent="0.3">
      <c r="H246" s="2" t="s">
        <v>144</v>
      </c>
      <c r="I246" s="21"/>
      <c r="J246" s="13"/>
      <c r="L246" s="26">
        <f>Table13456781011121314151617181920212223242526[[#This Row],[الدولار]]+(Table13456781011121314151617181920212223242526[[#This Row],[اللبناني]]/90)</f>
        <v>0</v>
      </c>
      <c r="M246" s="6"/>
    </row>
    <row r="247" spans="8:13" s="8" customFormat="1" x14ac:dyDescent="0.3">
      <c r="H247" s="2" t="s">
        <v>144</v>
      </c>
      <c r="I247" s="21"/>
      <c r="J247" s="13"/>
      <c r="L247" s="26">
        <f>Table13456781011121314151617181920212223242526[[#This Row],[الدولار]]+(Table13456781011121314151617181920212223242526[[#This Row],[اللبناني]]/90)</f>
        <v>0</v>
      </c>
      <c r="M247" s="6"/>
    </row>
    <row r="248" spans="8:13" s="8" customFormat="1" x14ac:dyDescent="0.3">
      <c r="H248" s="2" t="s">
        <v>144</v>
      </c>
      <c r="I248" s="21"/>
      <c r="J248" s="13"/>
      <c r="L248" s="26">
        <f>Table13456781011121314151617181920212223242526[[#This Row],[الدولار]]+(Table13456781011121314151617181920212223242526[[#This Row],[اللبناني]]/90)</f>
        <v>0</v>
      </c>
      <c r="M248" s="6"/>
    </row>
    <row r="249" spans="8:13" s="8" customFormat="1" x14ac:dyDescent="0.3">
      <c r="H249" s="2" t="s">
        <v>144</v>
      </c>
      <c r="I249" s="21"/>
      <c r="J249" s="13"/>
      <c r="L249" s="26">
        <f>Table13456781011121314151617181920212223242526[[#This Row],[الدولار]]+(Table13456781011121314151617181920212223242526[[#This Row],[اللبناني]]/90)</f>
        <v>0</v>
      </c>
      <c r="M249" s="6"/>
    </row>
    <row r="250" spans="8:13" s="8" customFormat="1" x14ac:dyDescent="0.3">
      <c r="H250" s="2" t="s">
        <v>144</v>
      </c>
      <c r="I250" s="21"/>
      <c r="J250" s="13"/>
      <c r="L250" s="26">
        <f>Table13456781011121314151617181920212223242526[[#This Row],[الدولار]]+(Table13456781011121314151617181920212223242526[[#This Row],[اللبناني]]/90)</f>
        <v>0</v>
      </c>
      <c r="M250" s="6"/>
    </row>
    <row r="251" spans="8:13" s="8" customFormat="1" x14ac:dyDescent="0.3">
      <c r="H251" s="2" t="s">
        <v>144</v>
      </c>
      <c r="I251" s="21"/>
      <c r="J251" s="13"/>
      <c r="L251" s="26">
        <f>Table13456781011121314151617181920212223242526[[#This Row],[الدولار]]+(Table13456781011121314151617181920212223242526[[#This Row],[اللبناني]]/90)</f>
        <v>0</v>
      </c>
      <c r="M251" s="6"/>
    </row>
    <row r="252" spans="8:13" s="8" customFormat="1" x14ac:dyDescent="0.3">
      <c r="H252" s="2" t="s">
        <v>144</v>
      </c>
      <c r="I252" s="21"/>
      <c r="J252" s="13"/>
      <c r="L252" s="26">
        <f>Table13456781011121314151617181920212223242526[[#This Row],[الدولار]]+(Table13456781011121314151617181920212223242526[[#This Row],[اللبناني]]/90)</f>
        <v>0</v>
      </c>
      <c r="M252" s="6"/>
    </row>
    <row r="253" spans="8:13" s="8" customFormat="1" x14ac:dyDescent="0.3">
      <c r="H253" s="2" t="s">
        <v>144</v>
      </c>
      <c r="I253" s="21"/>
      <c r="J253" s="13"/>
      <c r="L253" s="26">
        <f>Table13456781011121314151617181920212223242526[[#This Row],[الدولار]]+(Table13456781011121314151617181920212223242526[[#This Row],[اللبناني]]/90)</f>
        <v>0</v>
      </c>
      <c r="M253" s="6"/>
    </row>
    <row r="254" spans="8:13" s="8" customFormat="1" x14ac:dyDescent="0.3">
      <c r="H254" s="2" t="s">
        <v>144</v>
      </c>
      <c r="I254" s="21"/>
      <c r="J254" s="13"/>
      <c r="L254" s="26">
        <f>Table13456781011121314151617181920212223242526[[#This Row],[الدولار]]+(Table13456781011121314151617181920212223242526[[#This Row],[اللبناني]]/90)</f>
        <v>0</v>
      </c>
      <c r="M254" s="6"/>
    </row>
    <row r="255" spans="8:13" s="8" customFormat="1" x14ac:dyDescent="0.3">
      <c r="H255" s="2" t="s">
        <v>144</v>
      </c>
      <c r="I255" s="21"/>
      <c r="J255" s="13"/>
      <c r="L255" s="26">
        <f>Table13456781011121314151617181920212223242526[[#This Row],[الدولار]]+(Table13456781011121314151617181920212223242526[[#This Row],[اللبناني]]/90)</f>
        <v>0</v>
      </c>
      <c r="M255" s="6"/>
    </row>
    <row r="256" spans="8:13" s="8" customFormat="1" x14ac:dyDescent="0.3">
      <c r="H256" s="2" t="s">
        <v>144</v>
      </c>
      <c r="I256" s="21"/>
      <c r="J256" s="13"/>
      <c r="L256" s="26">
        <f>Table13456781011121314151617181920212223242526[[#This Row],[الدولار]]+(Table13456781011121314151617181920212223242526[[#This Row],[اللبناني]]/90)</f>
        <v>0</v>
      </c>
      <c r="M256" s="6"/>
    </row>
    <row r="257" spans="8:13" s="8" customFormat="1" x14ac:dyDescent="0.3">
      <c r="H257" s="2" t="s">
        <v>144</v>
      </c>
      <c r="I257" s="21"/>
      <c r="J257" s="13"/>
      <c r="L257" s="26">
        <f>Table13456781011121314151617181920212223242526[[#This Row],[الدولار]]+(Table13456781011121314151617181920212223242526[[#This Row],[اللبناني]]/90)</f>
        <v>0</v>
      </c>
      <c r="M257" s="6"/>
    </row>
    <row r="258" spans="8:13" s="8" customFormat="1" x14ac:dyDescent="0.3">
      <c r="H258" s="2" t="s">
        <v>144</v>
      </c>
      <c r="I258" s="21"/>
      <c r="J258" s="13"/>
      <c r="L258" s="26">
        <f>Table13456781011121314151617181920212223242526[[#This Row],[الدولار]]+(Table13456781011121314151617181920212223242526[[#This Row],[اللبناني]]/90)</f>
        <v>0</v>
      </c>
      <c r="M258" s="6"/>
    </row>
    <row r="259" spans="8:13" s="8" customFormat="1" x14ac:dyDescent="0.3">
      <c r="H259" s="2" t="s">
        <v>144</v>
      </c>
      <c r="I259" s="21"/>
      <c r="J259" s="13"/>
      <c r="L259" s="26">
        <f>Table13456781011121314151617181920212223242526[[#This Row],[الدولار]]+(Table13456781011121314151617181920212223242526[[#This Row],[اللبناني]]/90)</f>
        <v>0</v>
      </c>
      <c r="M259" s="6"/>
    </row>
    <row r="260" spans="8:13" s="8" customFormat="1" x14ac:dyDescent="0.3">
      <c r="H260" s="2" t="s">
        <v>144</v>
      </c>
      <c r="I260" s="21"/>
      <c r="J260" s="13"/>
      <c r="L260" s="26">
        <f>Table13456781011121314151617181920212223242526[[#This Row],[الدولار]]+(Table13456781011121314151617181920212223242526[[#This Row],[اللبناني]]/90)</f>
        <v>0</v>
      </c>
      <c r="M260" s="6"/>
    </row>
    <row r="261" spans="8:13" s="8" customFormat="1" x14ac:dyDescent="0.3">
      <c r="H261" s="2" t="s">
        <v>144</v>
      </c>
      <c r="I261" s="21"/>
      <c r="J261" s="13"/>
      <c r="L261" s="26">
        <f>Table13456781011121314151617181920212223242526[[#This Row],[الدولار]]+(Table13456781011121314151617181920212223242526[[#This Row],[اللبناني]]/90)</f>
        <v>0</v>
      </c>
      <c r="M261" s="6"/>
    </row>
    <row r="262" spans="8:13" s="8" customFormat="1" x14ac:dyDescent="0.3">
      <c r="H262" s="2" t="s">
        <v>144</v>
      </c>
      <c r="I262" s="21"/>
      <c r="J262" s="13"/>
      <c r="L262" s="26">
        <f>Table13456781011121314151617181920212223242526[[#This Row],[الدولار]]+(Table13456781011121314151617181920212223242526[[#This Row],[اللبناني]]/90)</f>
        <v>0</v>
      </c>
      <c r="M262" s="6"/>
    </row>
    <row r="263" spans="8:13" s="8" customFormat="1" x14ac:dyDescent="0.3">
      <c r="H263" s="2" t="s">
        <v>144</v>
      </c>
      <c r="I263" s="21"/>
      <c r="J263" s="13"/>
      <c r="L263" s="26">
        <f>Table13456781011121314151617181920212223242526[[#This Row],[الدولار]]+(Table13456781011121314151617181920212223242526[[#This Row],[اللبناني]]/90)</f>
        <v>0</v>
      </c>
      <c r="M263" s="6"/>
    </row>
    <row r="264" spans="8:13" s="8" customFormat="1" x14ac:dyDescent="0.3">
      <c r="H264" s="2" t="s">
        <v>144</v>
      </c>
      <c r="I264" s="21"/>
      <c r="J264" s="13"/>
      <c r="L264" s="26">
        <f>Table13456781011121314151617181920212223242526[[#This Row],[الدولار]]+(Table13456781011121314151617181920212223242526[[#This Row],[اللبناني]]/90)</f>
        <v>0</v>
      </c>
      <c r="M264" s="6"/>
    </row>
    <row r="265" spans="8:13" s="8" customFormat="1" x14ac:dyDescent="0.3">
      <c r="H265" s="2" t="s">
        <v>144</v>
      </c>
      <c r="I265" s="21"/>
      <c r="J265" s="13"/>
      <c r="L265" s="26">
        <f>Table13456781011121314151617181920212223242526[[#This Row],[الدولار]]+(Table13456781011121314151617181920212223242526[[#This Row],[اللبناني]]/90)</f>
        <v>0</v>
      </c>
      <c r="M265" s="6"/>
    </row>
    <row r="266" spans="8:13" s="8" customFormat="1" x14ac:dyDescent="0.3">
      <c r="H266" s="2" t="s">
        <v>144</v>
      </c>
      <c r="I266" s="21"/>
      <c r="J266" s="13"/>
      <c r="L266" s="26">
        <f>Table13456781011121314151617181920212223242526[[#This Row],[الدولار]]+(Table13456781011121314151617181920212223242526[[#This Row],[اللبناني]]/90)</f>
        <v>0</v>
      </c>
      <c r="M266" s="6"/>
    </row>
    <row r="267" spans="8:13" s="8" customFormat="1" x14ac:dyDescent="0.3">
      <c r="H267" s="2" t="s">
        <v>144</v>
      </c>
      <c r="I267" s="21"/>
      <c r="J267" s="13"/>
      <c r="L267" s="26">
        <f>Table13456781011121314151617181920212223242526[[#This Row],[الدولار]]+(Table13456781011121314151617181920212223242526[[#This Row],[اللبناني]]/90)</f>
        <v>0</v>
      </c>
      <c r="M267" s="6"/>
    </row>
    <row r="268" spans="8:13" s="8" customFormat="1" x14ac:dyDescent="0.3">
      <c r="H268" s="2" t="s">
        <v>144</v>
      </c>
      <c r="I268" s="21"/>
      <c r="J268" s="13"/>
      <c r="L268" s="26">
        <f>Table13456781011121314151617181920212223242526[[#This Row],[الدولار]]+(Table13456781011121314151617181920212223242526[[#This Row],[اللبناني]]/90)</f>
        <v>0</v>
      </c>
      <c r="M268" s="6"/>
    </row>
    <row r="269" spans="8:13" s="8" customFormat="1" x14ac:dyDescent="0.3">
      <c r="H269" s="2" t="s">
        <v>144</v>
      </c>
      <c r="I269" s="21"/>
      <c r="J269" s="13"/>
      <c r="L269" s="26">
        <f>Table13456781011121314151617181920212223242526[[#This Row],[الدولار]]+(Table13456781011121314151617181920212223242526[[#This Row],[اللبناني]]/90)</f>
        <v>0</v>
      </c>
      <c r="M269" s="6"/>
    </row>
    <row r="270" spans="8:13" s="8" customFormat="1" x14ac:dyDescent="0.3">
      <c r="H270" s="2" t="s">
        <v>144</v>
      </c>
      <c r="I270" s="21"/>
      <c r="J270" s="13"/>
      <c r="L270" s="26">
        <f>Table13456781011121314151617181920212223242526[[#This Row],[الدولار]]+(Table13456781011121314151617181920212223242526[[#This Row],[اللبناني]]/90)</f>
        <v>0</v>
      </c>
      <c r="M270" s="6"/>
    </row>
    <row r="271" spans="8:13" s="8" customFormat="1" x14ac:dyDescent="0.3">
      <c r="H271" s="2" t="s">
        <v>144</v>
      </c>
      <c r="I271" s="21"/>
      <c r="J271" s="13"/>
      <c r="L271" s="26">
        <f>Table13456781011121314151617181920212223242526[[#This Row],[الدولار]]+(Table13456781011121314151617181920212223242526[[#This Row],[اللبناني]]/90)</f>
        <v>0</v>
      </c>
      <c r="M271" s="6"/>
    </row>
    <row r="272" spans="8:13" s="8" customFormat="1" x14ac:dyDescent="0.3">
      <c r="H272" s="2" t="s">
        <v>144</v>
      </c>
      <c r="I272" s="21"/>
      <c r="J272" s="13"/>
      <c r="L272" s="26">
        <f>Table13456781011121314151617181920212223242526[[#This Row],[الدولار]]+(Table13456781011121314151617181920212223242526[[#This Row],[اللبناني]]/90)</f>
        <v>0</v>
      </c>
      <c r="M272" s="6"/>
    </row>
    <row r="273" spans="8:13" s="8" customFormat="1" x14ac:dyDescent="0.3">
      <c r="H273" s="2" t="s">
        <v>144</v>
      </c>
      <c r="I273" s="21"/>
      <c r="J273" s="13"/>
      <c r="L273" s="26">
        <f>Table13456781011121314151617181920212223242526[[#This Row],[الدولار]]+(Table13456781011121314151617181920212223242526[[#This Row],[اللبناني]]/90)</f>
        <v>0</v>
      </c>
      <c r="M273" s="6"/>
    </row>
    <row r="274" spans="8:13" s="8" customFormat="1" x14ac:dyDescent="0.3">
      <c r="H274" s="2" t="s">
        <v>144</v>
      </c>
      <c r="I274" s="21"/>
      <c r="J274" s="13"/>
      <c r="L274" s="26">
        <f>Table13456781011121314151617181920212223242526[[#This Row],[الدولار]]+(Table13456781011121314151617181920212223242526[[#This Row],[اللبناني]]/90)</f>
        <v>0</v>
      </c>
      <c r="M274" s="6"/>
    </row>
    <row r="275" spans="8:13" s="8" customFormat="1" x14ac:dyDescent="0.3">
      <c r="H275" s="2" t="s">
        <v>144</v>
      </c>
      <c r="I275" s="21"/>
      <c r="J275" s="13"/>
      <c r="L275" s="26">
        <f>Table13456781011121314151617181920212223242526[[#This Row],[الدولار]]+(Table13456781011121314151617181920212223242526[[#This Row],[اللبناني]]/90)</f>
        <v>0</v>
      </c>
      <c r="M275" s="6"/>
    </row>
    <row r="276" spans="8:13" s="8" customFormat="1" x14ac:dyDescent="0.3">
      <c r="H276" s="2" t="s">
        <v>144</v>
      </c>
      <c r="I276" s="21"/>
      <c r="J276" s="13"/>
      <c r="L276" s="26">
        <f>Table13456781011121314151617181920212223242526[[#This Row],[الدولار]]+(Table13456781011121314151617181920212223242526[[#This Row],[اللبناني]]/90)</f>
        <v>0</v>
      </c>
      <c r="M276" s="6"/>
    </row>
    <row r="277" spans="8:13" s="8" customFormat="1" x14ac:dyDescent="0.3">
      <c r="H277" s="2" t="s">
        <v>144</v>
      </c>
      <c r="I277" s="21"/>
      <c r="J277" s="13"/>
      <c r="L277" s="26">
        <f>Table13456781011121314151617181920212223242526[[#This Row],[الدولار]]+(Table13456781011121314151617181920212223242526[[#This Row],[اللبناني]]/90)</f>
        <v>0</v>
      </c>
      <c r="M277" s="6"/>
    </row>
    <row r="278" spans="8:13" s="8" customFormat="1" x14ac:dyDescent="0.3">
      <c r="H278" s="2" t="s">
        <v>144</v>
      </c>
      <c r="I278" s="21"/>
      <c r="J278" s="13"/>
      <c r="L278" s="26">
        <f>Table13456781011121314151617181920212223242526[[#This Row],[الدولار]]+(Table13456781011121314151617181920212223242526[[#This Row],[اللبناني]]/90)</f>
        <v>0</v>
      </c>
      <c r="M278" s="6"/>
    </row>
    <row r="279" spans="8:13" s="8" customFormat="1" x14ac:dyDescent="0.3">
      <c r="H279" s="2" t="s">
        <v>144</v>
      </c>
      <c r="I279" s="21"/>
      <c r="J279" s="13"/>
      <c r="L279" s="26">
        <f>Table13456781011121314151617181920212223242526[[#This Row],[الدولار]]+(Table13456781011121314151617181920212223242526[[#This Row],[اللبناني]]/90)</f>
        <v>0</v>
      </c>
      <c r="M279" s="6"/>
    </row>
    <row r="280" spans="8:13" s="8" customFormat="1" x14ac:dyDescent="0.3">
      <c r="H280" s="2" t="s">
        <v>144</v>
      </c>
      <c r="I280" s="21"/>
      <c r="J280" s="13"/>
      <c r="L280" s="26">
        <f>Table13456781011121314151617181920212223242526[[#This Row],[الدولار]]+(Table13456781011121314151617181920212223242526[[#This Row],[اللبناني]]/90)</f>
        <v>0</v>
      </c>
      <c r="M280" s="6"/>
    </row>
    <row r="281" spans="8:13" s="8" customFormat="1" x14ac:dyDescent="0.3">
      <c r="H281" s="2" t="s">
        <v>144</v>
      </c>
      <c r="I281" s="21"/>
      <c r="J281" s="13"/>
      <c r="L281" s="26">
        <f>Table13456781011121314151617181920212223242526[[#This Row],[الدولار]]+(Table13456781011121314151617181920212223242526[[#This Row],[اللبناني]]/90)</f>
        <v>0</v>
      </c>
      <c r="M281" s="6"/>
    </row>
    <row r="282" spans="8:13" s="8" customFormat="1" x14ac:dyDescent="0.3">
      <c r="H282" s="2" t="s">
        <v>144</v>
      </c>
      <c r="I282" s="21"/>
      <c r="J282" s="13"/>
      <c r="L282" s="26">
        <f>Table13456781011121314151617181920212223242526[[#This Row],[الدولار]]+(Table13456781011121314151617181920212223242526[[#This Row],[اللبناني]]/90)</f>
        <v>0</v>
      </c>
      <c r="M282" s="6"/>
    </row>
    <row r="283" spans="8:13" s="8" customFormat="1" x14ac:dyDescent="0.3">
      <c r="H283" s="2" t="s">
        <v>144</v>
      </c>
      <c r="I283" s="21"/>
      <c r="J283" s="13"/>
      <c r="L283" s="26">
        <f>Table13456781011121314151617181920212223242526[[#This Row],[الدولار]]+(Table13456781011121314151617181920212223242526[[#This Row],[اللبناني]]/90)</f>
        <v>0</v>
      </c>
      <c r="M283" s="6"/>
    </row>
    <row r="284" spans="8:13" s="8" customFormat="1" x14ac:dyDescent="0.3">
      <c r="H284" s="2" t="s">
        <v>144</v>
      </c>
      <c r="I284" s="21"/>
      <c r="J284" s="13"/>
      <c r="L284" s="26">
        <f>Table13456781011121314151617181920212223242526[[#This Row],[الدولار]]+(Table13456781011121314151617181920212223242526[[#This Row],[اللبناني]]/90)</f>
        <v>0</v>
      </c>
      <c r="M284" s="6"/>
    </row>
    <row r="285" spans="8:13" s="8" customFormat="1" x14ac:dyDescent="0.3">
      <c r="H285" s="2" t="s">
        <v>144</v>
      </c>
      <c r="I285" s="21"/>
      <c r="J285" s="13"/>
      <c r="L285" s="26">
        <f>Table13456781011121314151617181920212223242526[[#This Row],[الدولار]]+(Table13456781011121314151617181920212223242526[[#This Row],[اللبناني]]/90)</f>
        <v>0</v>
      </c>
      <c r="M285" s="6"/>
    </row>
    <row r="286" spans="8:13" s="8" customFormat="1" x14ac:dyDescent="0.3">
      <c r="H286" s="2" t="s">
        <v>144</v>
      </c>
      <c r="I286" s="21"/>
      <c r="J286" s="13"/>
      <c r="L286" s="26">
        <f>Table13456781011121314151617181920212223242526[[#This Row],[الدولار]]+(Table13456781011121314151617181920212223242526[[#This Row],[اللبناني]]/90)</f>
        <v>0</v>
      </c>
      <c r="M286" s="6"/>
    </row>
    <row r="287" spans="8:13" s="8" customFormat="1" x14ac:dyDescent="0.3">
      <c r="H287" s="2" t="s">
        <v>144</v>
      </c>
      <c r="I287" s="21"/>
      <c r="J287" s="13"/>
      <c r="L287" s="26">
        <f>Table13456781011121314151617181920212223242526[[#This Row],[الدولار]]+(Table13456781011121314151617181920212223242526[[#This Row],[اللبناني]]/90)</f>
        <v>0</v>
      </c>
      <c r="M287" s="6"/>
    </row>
    <row r="288" spans="8:13" s="8" customFormat="1" x14ac:dyDescent="0.3">
      <c r="H288" s="2" t="s">
        <v>144</v>
      </c>
      <c r="I288" s="21"/>
      <c r="J288" s="13"/>
      <c r="L288" s="26">
        <f>Table13456781011121314151617181920212223242526[[#This Row],[الدولار]]+(Table13456781011121314151617181920212223242526[[#This Row],[اللبناني]]/90)</f>
        <v>0</v>
      </c>
      <c r="M288" s="6"/>
    </row>
    <row r="289" spans="8:13" s="8" customFormat="1" x14ac:dyDescent="0.3">
      <c r="H289" s="2" t="s">
        <v>144</v>
      </c>
      <c r="I289" s="21"/>
      <c r="J289" s="13"/>
      <c r="L289" s="26">
        <f>Table13456781011121314151617181920212223242526[[#This Row],[الدولار]]+(Table13456781011121314151617181920212223242526[[#This Row],[اللبناني]]/90)</f>
        <v>0</v>
      </c>
      <c r="M289" s="6"/>
    </row>
    <row r="290" spans="8:13" s="8" customFormat="1" x14ac:dyDescent="0.3">
      <c r="H290" s="2" t="s">
        <v>144</v>
      </c>
      <c r="I290" s="21"/>
      <c r="J290" s="13"/>
      <c r="L290" s="26">
        <f>Table13456781011121314151617181920212223242526[[#This Row],[الدولار]]+(Table13456781011121314151617181920212223242526[[#This Row],[اللبناني]]/90)</f>
        <v>0</v>
      </c>
      <c r="M290" s="6"/>
    </row>
    <row r="291" spans="8:13" s="8" customFormat="1" x14ac:dyDescent="0.3">
      <c r="H291" s="2" t="s">
        <v>144</v>
      </c>
      <c r="I291" s="21"/>
      <c r="J291" s="13"/>
      <c r="L291" s="26">
        <f>Table13456781011121314151617181920212223242526[[#This Row],[الدولار]]+(Table13456781011121314151617181920212223242526[[#This Row],[اللبناني]]/90)</f>
        <v>0</v>
      </c>
      <c r="M291" s="6"/>
    </row>
    <row r="292" spans="8:13" s="8" customFormat="1" x14ac:dyDescent="0.3">
      <c r="H292" s="2" t="s">
        <v>144</v>
      </c>
      <c r="I292" s="21"/>
      <c r="J292" s="13"/>
      <c r="L292" s="26">
        <f>Table13456781011121314151617181920212223242526[[#This Row],[الدولار]]+(Table13456781011121314151617181920212223242526[[#This Row],[اللبناني]]/90)</f>
        <v>0</v>
      </c>
      <c r="M292" s="6"/>
    </row>
    <row r="293" spans="8:13" s="8" customFormat="1" x14ac:dyDescent="0.3">
      <c r="H293" s="2" t="s">
        <v>144</v>
      </c>
      <c r="I293" s="21"/>
      <c r="J293" s="13"/>
      <c r="L293" s="26">
        <f>Table13456781011121314151617181920212223242526[[#This Row],[الدولار]]+(Table13456781011121314151617181920212223242526[[#This Row],[اللبناني]]/90)</f>
        <v>0</v>
      </c>
      <c r="M293" s="6"/>
    </row>
    <row r="294" spans="8:13" s="8" customFormat="1" x14ac:dyDescent="0.3">
      <c r="H294" s="2" t="s">
        <v>144</v>
      </c>
      <c r="I294" s="21"/>
      <c r="J294" s="13"/>
      <c r="L294" s="26">
        <f>Table13456781011121314151617181920212223242526[[#This Row],[الدولار]]+(Table13456781011121314151617181920212223242526[[#This Row],[اللبناني]]/90)</f>
        <v>0</v>
      </c>
      <c r="M294" s="6"/>
    </row>
    <row r="295" spans="8:13" s="8" customFormat="1" x14ac:dyDescent="0.3">
      <c r="H295" s="2" t="s">
        <v>144</v>
      </c>
      <c r="I295" s="21"/>
      <c r="J295" s="13"/>
      <c r="L295" s="26">
        <f>Table13456781011121314151617181920212223242526[[#This Row],[الدولار]]+(Table13456781011121314151617181920212223242526[[#This Row],[اللبناني]]/90)</f>
        <v>0</v>
      </c>
      <c r="M295" s="6"/>
    </row>
    <row r="296" spans="8:13" s="8" customFormat="1" x14ac:dyDescent="0.3">
      <c r="H296" s="2" t="s">
        <v>144</v>
      </c>
      <c r="I296" s="21"/>
      <c r="J296" s="13"/>
      <c r="L296" s="26">
        <f>Table13456781011121314151617181920212223242526[[#This Row],[الدولار]]+(Table13456781011121314151617181920212223242526[[#This Row],[اللبناني]]/90)</f>
        <v>0</v>
      </c>
      <c r="M296" s="6"/>
    </row>
    <row r="297" spans="8:13" s="8" customFormat="1" x14ac:dyDescent="0.3">
      <c r="H297" s="2" t="s">
        <v>144</v>
      </c>
      <c r="I297" s="21"/>
      <c r="J297" s="13"/>
      <c r="L297" s="26">
        <f>Table13456781011121314151617181920212223242526[[#This Row],[الدولار]]+(Table13456781011121314151617181920212223242526[[#This Row],[اللبناني]]/90)</f>
        <v>0</v>
      </c>
      <c r="M297" s="6"/>
    </row>
    <row r="298" spans="8:13" s="8" customFormat="1" x14ac:dyDescent="0.3">
      <c r="H298" s="2" t="s">
        <v>144</v>
      </c>
      <c r="I298" s="21"/>
      <c r="J298" s="13"/>
      <c r="L298" s="26">
        <f>Table13456781011121314151617181920212223242526[[#This Row],[الدولار]]+(Table13456781011121314151617181920212223242526[[#This Row],[اللبناني]]/90)</f>
        <v>0</v>
      </c>
      <c r="M298" s="6"/>
    </row>
    <row r="299" spans="8:13" s="8" customFormat="1" x14ac:dyDescent="0.3">
      <c r="H299" s="2" t="s">
        <v>144</v>
      </c>
      <c r="I299" s="21"/>
      <c r="J299" s="13"/>
      <c r="L299" s="26">
        <f>Table13456781011121314151617181920212223242526[[#This Row],[الدولار]]+(Table13456781011121314151617181920212223242526[[#This Row],[اللبناني]]/90)</f>
        <v>0</v>
      </c>
      <c r="M299" s="6"/>
    </row>
    <row r="300" spans="8:13" s="8" customFormat="1" x14ac:dyDescent="0.3">
      <c r="H300" s="2" t="s">
        <v>144</v>
      </c>
      <c r="I300" s="21"/>
      <c r="J300" s="13"/>
      <c r="L300" s="26">
        <f>Table13456781011121314151617181920212223242526[[#This Row],[الدولار]]+(Table13456781011121314151617181920212223242526[[#This Row],[اللبناني]]/90)</f>
        <v>0</v>
      </c>
      <c r="M300" s="6"/>
    </row>
    <row r="301" spans="8:13" s="8" customFormat="1" x14ac:dyDescent="0.3">
      <c r="H301" s="2" t="s">
        <v>144</v>
      </c>
      <c r="I301" s="21"/>
      <c r="J301" s="13"/>
      <c r="L301" s="26">
        <f>Table13456781011121314151617181920212223242526[[#This Row],[الدولار]]+(Table13456781011121314151617181920212223242526[[#This Row],[اللبناني]]/90)</f>
        <v>0</v>
      </c>
      <c r="M301" s="6"/>
    </row>
    <row r="302" spans="8:13" s="8" customFormat="1" x14ac:dyDescent="0.3">
      <c r="H302" s="2" t="s">
        <v>144</v>
      </c>
      <c r="I302" s="21"/>
      <c r="J302" s="13"/>
      <c r="L302" s="26">
        <f>Table13456781011121314151617181920212223242526[[#This Row],[الدولار]]+(Table13456781011121314151617181920212223242526[[#This Row],[اللبناني]]/90)</f>
        <v>0</v>
      </c>
      <c r="M302" s="6"/>
    </row>
    <row r="303" spans="8:13" s="8" customFormat="1" x14ac:dyDescent="0.3">
      <c r="H303" s="2" t="s">
        <v>144</v>
      </c>
      <c r="I303" s="21"/>
      <c r="J303" s="13"/>
      <c r="L303" s="26">
        <f>Table13456781011121314151617181920212223242526[[#This Row],[الدولار]]+(Table13456781011121314151617181920212223242526[[#This Row],[اللبناني]]/90)</f>
        <v>0</v>
      </c>
      <c r="M303" s="6"/>
    </row>
    <row r="304" spans="8:13" s="8" customFormat="1" x14ac:dyDescent="0.3">
      <c r="H304" s="2" t="s">
        <v>144</v>
      </c>
      <c r="I304" s="21"/>
      <c r="J304" s="13"/>
      <c r="L304" s="26">
        <f>Table13456781011121314151617181920212223242526[[#This Row],[الدولار]]+(Table13456781011121314151617181920212223242526[[#This Row],[اللبناني]]/90)</f>
        <v>0</v>
      </c>
      <c r="M304" s="6"/>
    </row>
    <row r="305" spans="8:13" s="8" customFormat="1" x14ac:dyDescent="0.3">
      <c r="H305" s="2" t="s">
        <v>144</v>
      </c>
      <c r="I305" s="21"/>
      <c r="J305" s="13"/>
      <c r="L305" s="26">
        <f>Table13456781011121314151617181920212223242526[[#This Row],[الدولار]]+(Table13456781011121314151617181920212223242526[[#This Row],[اللبناني]]/90)</f>
        <v>0</v>
      </c>
      <c r="M305" s="6"/>
    </row>
    <row r="306" spans="8:13" s="8" customFormat="1" x14ac:dyDescent="0.3">
      <c r="H306" s="2" t="s">
        <v>144</v>
      </c>
      <c r="I306" s="21"/>
      <c r="J306" s="13"/>
      <c r="L306" s="26">
        <f>Table13456781011121314151617181920212223242526[[#This Row],[الدولار]]+(Table13456781011121314151617181920212223242526[[#This Row],[اللبناني]]/90)</f>
        <v>0</v>
      </c>
      <c r="M306" s="6"/>
    </row>
    <row r="307" spans="8:13" s="8" customFormat="1" x14ac:dyDescent="0.3">
      <c r="H307" s="2" t="s">
        <v>144</v>
      </c>
      <c r="I307" s="21"/>
      <c r="J307" s="13"/>
      <c r="L307" s="26">
        <f>Table13456781011121314151617181920212223242526[[#This Row],[الدولار]]+(Table13456781011121314151617181920212223242526[[#This Row],[اللبناني]]/90)</f>
        <v>0</v>
      </c>
      <c r="M307" s="6"/>
    </row>
    <row r="308" spans="8:13" s="8" customFormat="1" x14ac:dyDescent="0.3">
      <c r="H308" s="2" t="s">
        <v>144</v>
      </c>
      <c r="I308" s="21"/>
      <c r="J308" s="13"/>
      <c r="L308" s="26">
        <f>Table13456781011121314151617181920212223242526[[#This Row],[الدولار]]+(Table13456781011121314151617181920212223242526[[#This Row],[اللبناني]]/90)</f>
        <v>0</v>
      </c>
      <c r="M308" s="6"/>
    </row>
    <row r="309" spans="8:13" s="8" customFormat="1" x14ac:dyDescent="0.3">
      <c r="H309" s="2" t="s">
        <v>144</v>
      </c>
      <c r="I309" s="21"/>
      <c r="J309" s="13"/>
      <c r="L309" s="26">
        <f>Table13456781011121314151617181920212223242526[[#This Row],[الدولار]]+(Table13456781011121314151617181920212223242526[[#This Row],[اللبناني]]/90)</f>
        <v>0</v>
      </c>
      <c r="M309" s="6"/>
    </row>
    <row r="310" spans="8:13" s="8" customFormat="1" x14ac:dyDescent="0.3">
      <c r="H310" s="2" t="s">
        <v>144</v>
      </c>
      <c r="I310" s="21"/>
      <c r="J310" s="13"/>
      <c r="L310" s="26">
        <f>Table13456781011121314151617181920212223242526[[#This Row],[الدولار]]+(Table13456781011121314151617181920212223242526[[#This Row],[اللبناني]]/90)</f>
        <v>0</v>
      </c>
      <c r="M310" s="6"/>
    </row>
    <row r="311" spans="8:13" s="8" customFormat="1" x14ac:dyDescent="0.3">
      <c r="H311" s="2" t="s">
        <v>144</v>
      </c>
      <c r="I311" s="21"/>
      <c r="J311" s="13"/>
      <c r="L311" s="26">
        <f>Table13456781011121314151617181920212223242526[[#This Row],[الدولار]]+(Table13456781011121314151617181920212223242526[[#This Row],[اللبناني]]/90)</f>
        <v>0</v>
      </c>
      <c r="M311" s="6"/>
    </row>
    <row r="312" spans="8:13" s="8" customFormat="1" x14ac:dyDescent="0.3">
      <c r="H312" s="2" t="s">
        <v>144</v>
      </c>
      <c r="I312" s="21"/>
      <c r="J312" s="13"/>
      <c r="L312" s="26">
        <f>Table13456781011121314151617181920212223242526[[#This Row],[الدولار]]+(Table13456781011121314151617181920212223242526[[#This Row],[اللبناني]]/90)</f>
        <v>0</v>
      </c>
      <c r="M312" s="6"/>
    </row>
    <row r="313" spans="8:13" s="8" customFormat="1" x14ac:dyDescent="0.3">
      <c r="H313" s="2" t="s">
        <v>144</v>
      </c>
      <c r="I313" s="21"/>
      <c r="J313" s="13"/>
      <c r="L313" s="26">
        <f>Table13456781011121314151617181920212223242526[[#This Row],[الدولار]]+(Table13456781011121314151617181920212223242526[[#This Row],[اللبناني]]/90)</f>
        <v>0</v>
      </c>
      <c r="M313" s="6"/>
    </row>
    <row r="314" spans="8:13" s="8" customFormat="1" x14ac:dyDescent="0.3">
      <c r="H314" s="2" t="s">
        <v>144</v>
      </c>
      <c r="I314" s="21"/>
      <c r="J314" s="13"/>
      <c r="L314" s="26">
        <f>Table13456781011121314151617181920212223242526[[#This Row],[الدولار]]+(Table13456781011121314151617181920212223242526[[#This Row],[اللبناني]]/90)</f>
        <v>0</v>
      </c>
      <c r="M314" s="6"/>
    </row>
    <row r="315" spans="8:13" s="8" customFormat="1" x14ac:dyDescent="0.3">
      <c r="H315" s="2" t="s">
        <v>144</v>
      </c>
      <c r="I315" s="21"/>
      <c r="J315" s="13"/>
      <c r="L315" s="26">
        <f>Table13456781011121314151617181920212223242526[[#This Row],[الدولار]]+(Table13456781011121314151617181920212223242526[[#This Row],[اللبناني]]/90)</f>
        <v>0</v>
      </c>
      <c r="M315" s="6"/>
    </row>
    <row r="316" spans="8:13" s="8" customFormat="1" x14ac:dyDescent="0.3">
      <c r="H316" s="2" t="s">
        <v>144</v>
      </c>
      <c r="I316" s="21"/>
      <c r="J316" s="13"/>
      <c r="L316" s="26">
        <f>Table13456781011121314151617181920212223242526[[#This Row],[الدولار]]+(Table13456781011121314151617181920212223242526[[#This Row],[اللبناني]]/90)</f>
        <v>0</v>
      </c>
      <c r="M316" s="6"/>
    </row>
    <row r="317" spans="8:13" s="8" customFormat="1" x14ac:dyDescent="0.3">
      <c r="H317" s="2" t="s">
        <v>144</v>
      </c>
      <c r="I317" s="21"/>
      <c r="J317" s="13"/>
      <c r="L317" s="26">
        <f>Table13456781011121314151617181920212223242526[[#This Row],[الدولار]]+(Table13456781011121314151617181920212223242526[[#This Row],[اللبناني]]/90)</f>
        <v>0</v>
      </c>
      <c r="M317" s="6"/>
    </row>
    <row r="318" spans="8:13" s="8" customFormat="1" x14ac:dyDescent="0.3">
      <c r="H318" s="2" t="s">
        <v>144</v>
      </c>
      <c r="I318" s="21"/>
      <c r="J318" s="13"/>
      <c r="L318" s="26">
        <f>Table13456781011121314151617181920212223242526[[#This Row],[الدولار]]+(Table13456781011121314151617181920212223242526[[#This Row],[اللبناني]]/90)</f>
        <v>0</v>
      </c>
      <c r="M318" s="6"/>
    </row>
    <row r="319" spans="8:13" s="8" customFormat="1" x14ac:dyDescent="0.3">
      <c r="H319" s="2" t="s">
        <v>144</v>
      </c>
      <c r="I319" s="21"/>
      <c r="J319" s="13"/>
      <c r="L319" s="26">
        <f>Table13456781011121314151617181920212223242526[[#This Row],[الدولار]]+(Table13456781011121314151617181920212223242526[[#This Row],[اللبناني]]/90)</f>
        <v>0</v>
      </c>
      <c r="M319" s="6"/>
    </row>
    <row r="320" spans="8:13" s="8" customFormat="1" x14ac:dyDescent="0.3">
      <c r="H320" s="2" t="s">
        <v>144</v>
      </c>
      <c r="I320" s="21"/>
      <c r="J320" s="13"/>
      <c r="L320" s="26">
        <f>Table13456781011121314151617181920212223242526[[#This Row],[الدولار]]+(Table13456781011121314151617181920212223242526[[#This Row],[اللبناني]]/90)</f>
        <v>0</v>
      </c>
      <c r="M320" s="6"/>
    </row>
    <row r="321" spans="8:13" s="8" customFormat="1" x14ac:dyDescent="0.3">
      <c r="H321" s="2" t="s">
        <v>144</v>
      </c>
      <c r="I321" s="21"/>
      <c r="J321" s="13"/>
      <c r="L321" s="26">
        <f>Table13456781011121314151617181920212223242526[[#This Row],[الدولار]]+(Table13456781011121314151617181920212223242526[[#This Row],[اللبناني]]/90)</f>
        <v>0</v>
      </c>
      <c r="M321" s="6"/>
    </row>
    <row r="322" spans="8:13" s="8" customFormat="1" x14ac:dyDescent="0.3">
      <c r="H322" s="2" t="s">
        <v>144</v>
      </c>
      <c r="I322" s="21"/>
      <c r="J322" s="13"/>
      <c r="L322" s="26">
        <f>Table13456781011121314151617181920212223242526[[#This Row],[الدولار]]+(Table13456781011121314151617181920212223242526[[#This Row],[اللبناني]]/90)</f>
        <v>0</v>
      </c>
      <c r="M322" s="6"/>
    </row>
    <row r="323" spans="8:13" s="8" customFormat="1" x14ac:dyDescent="0.3">
      <c r="H323" s="2" t="s">
        <v>144</v>
      </c>
      <c r="I323" s="21"/>
      <c r="J323" s="13"/>
      <c r="L323" s="26">
        <f>Table13456781011121314151617181920212223242526[[#This Row],[الدولار]]+(Table13456781011121314151617181920212223242526[[#This Row],[اللبناني]]/90)</f>
        <v>0</v>
      </c>
      <c r="M323" s="6"/>
    </row>
    <row r="324" spans="8:13" s="8" customFormat="1" x14ac:dyDescent="0.3">
      <c r="H324" s="2" t="s">
        <v>144</v>
      </c>
      <c r="I324" s="21"/>
      <c r="J324" s="13"/>
      <c r="L324" s="26">
        <f>Table13456781011121314151617181920212223242526[[#This Row],[الدولار]]+(Table13456781011121314151617181920212223242526[[#This Row],[اللبناني]]/90)</f>
        <v>0</v>
      </c>
      <c r="M324" s="6"/>
    </row>
    <row r="325" spans="8:13" s="8" customFormat="1" x14ac:dyDescent="0.3">
      <c r="H325" s="2" t="s">
        <v>144</v>
      </c>
      <c r="I325" s="21"/>
      <c r="J325" s="13"/>
      <c r="L325" s="26">
        <f>Table13456781011121314151617181920212223242526[[#This Row],[الدولار]]+(Table13456781011121314151617181920212223242526[[#This Row],[اللبناني]]/90)</f>
        <v>0</v>
      </c>
      <c r="M325" s="6"/>
    </row>
    <row r="326" spans="8:13" s="8" customFormat="1" x14ac:dyDescent="0.3">
      <c r="H326" s="2" t="s">
        <v>144</v>
      </c>
      <c r="I326" s="21"/>
      <c r="J326" s="13"/>
      <c r="L326" s="26">
        <f>Table13456781011121314151617181920212223242526[[#This Row],[الدولار]]+(Table13456781011121314151617181920212223242526[[#This Row],[اللبناني]]/90)</f>
        <v>0</v>
      </c>
      <c r="M326" s="6"/>
    </row>
    <row r="327" spans="8:13" s="8" customFormat="1" x14ac:dyDescent="0.3">
      <c r="H327" s="2" t="s">
        <v>144</v>
      </c>
      <c r="I327" s="21"/>
      <c r="J327" s="13"/>
      <c r="L327" s="26">
        <f>Table13456781011121314151617181920212223242526[[#This Row],[الدولار]]+(Table13456781011121314151617181920212223242526[[#This Row],[اللبناني]]/90)</f>
        <v>0</v>
      </c>
      <c r="M327" s="6"/>
    </row>
    <row r="328" spans="8:13" s="8" customFormat="1" x14ac:dyDescent="0.3">
      <c r="H328" s="2" t="s">
        <v>144</v>
      </c>
      <c r="I328" s="21"/>
      <c r="J328" s="13"/>
      <c r="L328" s="26">
        <f>Table13456781011121314151617181920212223242526[[#This Row],[الدولار]]+(Table13456781011121314151617181920212223242526[[#This Row],[اللبناني]]/90)</f>
        <v>0</v>
      </c>
      <c r="M328" s="6"/>
    </row>
    <row r="329" spans="8:13" s="8" customFormat="1" x14ac:dyDescent="0.3">
      <c r="H329" s="2" t="s">
        <v>144</v>
      </c>
      <c r="I329" s="21"/>
      <c r="J329" s="13"/>
      <c r="L329" s="26">
        <f>Table13456781011121314151617181920212223242526[[#This Row],[الدولار]]+(Table13456781011121314151617181920212223242526[[#This Row],[اللبناني]]/90)</f>
        <v>0</v>
      </c>
      <c r="M329" s="6"/>
    </row>
    <row r="330" spans="8:13" s="8" customFormat="1" x14ac:dyDescent="0.3">
      <c r="H330" s="2" t="s">
        <v>144</v>
      </c>
      <c r="I330" s="21"/>
      <c r="J330" s="13"/>
      <c r="L330" s="26">
        <f>Table13456781011121314151617181920212223242526[[#This Row],[الدولار]]+(Table13456781011121314151617181920212223242526[[#This Row],[اللبناني]]/90)</f>
        <v>0</v>
      </c>
      <c r="M330" s="6"/>
    </row>
    <row r="331" spans="8:13" s="8" customFormat="1" x14ac:dyDescent="0.3">
      <c r="H331" s="2" t="s">
        <v>144</v>
      </c>
      <c r="I331" s="21"/>
      <c r="J331" s="13"/>
      <c r="L331" s="26">
        <f>Table13456781011121314151617181920212223242526[[#This Row],[الدولار]]+(Table13456781011121314151617181920212223242526[[#This Row],[اللبناني]]/90)</f>
        <v>0</v>
      </c>
      <c r="M331" s="6"/>
    </row>
    <row r="332" spans="8:13" s="8" customFormat="1" x14ac:dyDescent="0.3">
      <c r="H332" s="2" t="s">
        <v>144</v>
      </c>
      <c r="I332" s="21"/>
      <c r="J332" s="13"/>
      <c r="L332" s="26">
        <f>Table13456781011121314151617181920212223242526[[#This Row],[الدولار]]+(Table13456781011121314151617181920212223242526[[#This Row],[اللبناني]]/90)</f>
        <v>0</v>
      </c>
      <c r="M332" s="6"/>
    </row>
    <row r="333" spans="8:13" s="8" customFormat="1" x14ac:dyDescent="0.3">
      <c r="H333" s="2" t="s">
        <v>144</v>
      </c>
      <c r="I333" s="21"/>
      <c r="J333" s="13"/>
      <c r="L333" s="26">
        <f>Table13456781011121314151617181920212223242526[[#This Row],[الدولار]]+(Table13456781011121314151617181920212223242526[[#This Row],[اللبناني]]/90)</f>
        <v>0</v>
      </c>
      <c r="M333" s="6"/>
    </row>
    <row r="334" spans="8:13" s="8" customFormat="1" x14ac:dyDescent="0.3">
      <c r="H334" s="2" t="s">
        <v>144</v>
      </c>
      <c r="I334" s="21"/>
      <c r="J334" s="13"/>
      <c r="L334" s="26">
        <f>Table13456781011121314151617181920212223242526[[#This Row],[الدولار]]+(Table13456781011121314151617181920212223242526[[#This Row],[اللبناني]]/90)</f>
        <v>0</v>
      </c>
      <c r="M334" s="6"/>
    </row>
    <row r="335" spans="8:13" s="8" customFormat="1" x14ac:dyDescent="0.3">
      <c r="H335" s="2" t="s">
        <v>144</v>
      </c>
      <c r="I335" s="21"/>
      <c r="J335" s="13"/>
      <c r="L335" s="26">
        <f>Table13456781011121314151617181920212223242526[[#This Row],[الدولار]]+(Table13456781011121314151617181920212223242526[[#This Row],[اللبناني]]/90)</f>
        <v>0</v>
      </c>
      <c r="M335" s="6"/>
    </row>
    <row r="336" spans="8:13" s="8" customFormat="1" x14ac:dyDescent="0.3">
      <c r="H336" s="2" t="s">
        <v>144</v>
      </c>
      <c r="I336" s="21"/>
      <c r="J336" s="13"/>
      <c r="L336" s="26">
        <f>Table13456781011121314151617181920212223242526[[#This Row],[الدولار]]+(Table13456781011121314151617181920212223242526[[#This Row],[اللبناني]]/90)</f>
        <v>0</v>
      </c>
      <c r="M336" s="6"/>
    </row>
    <row r="337" spans="8:13" s="8" customFormat="1" x14ac:dyDescent="0.3">
      <c r="H337" s="2" t="s">
        <v>144</v>
      </c>
      <c r="I337" s="21"/>
      <c r="J337" s="13"/>
      <c r="L337" s="26">
        <f>Table13456781011121314151617181920212223242526[[#This Row],[الدولار]]+(Table13456781011121314151617181920212223242526[[#This Row],[اللبناني]]/90)</f>
        <v>0</v>
      </c>
      <c r="M337" s="6"/>
    </row>
    <row r="338" spans="8:13" s="8" customFormat="1" x14ac:dyDescent="0.3">
      <c r="H338" s="2" t="s">
        <v>144</v>
      </c>
      <c r="I338" s="21"/>
      <c r="J338" s="13"/>
      <c r="L338" s="26">
        <f>Table13456781011121314151617181920212223242526[[#This Row],[الدولار]]+(Table13456781011121314151617181920212223242526[[#This Row],[اللبناني]]/90)</f>
        <v>0</v>
      </c>
      <c r="M338" s="6"/>
    </row>
    <row r="339" spans="8:13" s="8" customFormat="1" x14ac:dyDescent="0.3">
      <c r="H339" s="2" t="s">
        <v>144</v>
      </c>
      <c r="I339" s="21"/>
      <c r="J339" s="13"/>
      <c r="L339" s="26">
        <f>Table13456781011121314151617181920212223242526[[#This Row],[الدولار]]+(Table13456781011121314151617181920212223242526[[#This Row],[اللبناني]]/90)</f>
        <v>0</v>
      </c>
      <c r="M339" s="6"/>
    </row>
    <row r="340" spans="8:13" s="8" customFormat="1" x14ac:dyDescent="0.3">
      <c r="H340" s="2" t="s">
        <v>144</v>
      </c>
      <c r="I340" s="21"/>
      <c r="J340" s="13"/>
      <c r="L340" s="26">
        <f>Table13456781011121314151617181920212223242526[[#This Row],[الدولار]]+(Table13456781011121314151617181920212223242526[[#This Row],[اللبناني]]/90)</f>
        <v>0</v>
      </c>
      <c r="M340" s="6"/>
    </row>
    <row r="341" spans="8:13" s="8" customFormat="1" x14ac:dyDescent="0.3">
      <c r="H341" s="2" t="s">
        <v>144</v>
      </c>
      <c r="I341" s="21"/>
      <c r="J341" s="13"/>
      <c r="L341" s="26">
        <f>Table13456781011121314151617181920212223242526[[#This Row],[الدولار]]+(Table13456781011121314151617181920212223242526[[#This Row],[اللبناني]]/90)</f>
        <v>0</v>
      </c>
      <c r="M341" s="6"/>
    </row>
    <row r="342" spans="8:13" s="8" customFormat="1" x14ac:dyDescent="0.3">
      <c r="H342" s="2" t="s">
        <v>144</v>
      </c>
      <c r="I342" s="21"/>
      <c r="J342" s="13"/>
      <c r="L342" s="26">
        <f>Table13456781011121314151617181920212223242526[[#This Row],[الدولار]]+(Table13456781011121314151617181920212223242526[[#This Row],[اللبناني]]/90)</f>
        <v>0</v>
      </c>
      <c r="M342" s="6"/>
    </row>
    <row r="343" spans="8:13" s="8" customFormat="1" x14ac:dyDescent="0.3">
      <c r="H343" s="2" t="s">
        <v>144</v>
      </c>
      <c r="I343" s="21"/>
      <c r="J343" s="13"/>
      <c r="L343" s="26">
        <f>Table13456781011121314151617181920212223242526[[#This Row],[الدولار]]+(Table13456781011121314151617181920212223242526[[#This Row],[اللبناني]]/90)</f>
        <v>0</v>
      </c>
      <c r="M343" s="6"/>
    </row>
    <row r="344" spans="8:13" s="8" customFormat="1" x14ac:dyDescent="0.3">
      <c r="H344" s="2" t="s">
        <v>144</v>
      </c>
      <c r="I344" s="21"/>
      <c r="J344" s="13"/>
      <c r="L344" s="26">
        <f>Table13456781011121314151617181920212223242526[[#This Row],[الدولار]]+(Table13456781011121314151617181920212223242526[[#This Row],[اللبناني]]/90)</f>
        <v>0</v>
      </c>
      <c r="M344" s="6"/>
    </row>
    <row r="345" spans="8:13" s="8" customFormat="1" x14ac:dyDescent="0.3">
      <c r="H345" s="2" t="s">
        <v>144</v>
      </c>
      <c r="I345" s="21"/>
      <c r="J345" s="13"/>
      <c r="L345" s="26">
        <f>Table13456781011121314151617181920212223242526[[#This Row],[الدولار]]+(Table13456781011121314151617181920212223242526[[#This Row],[اللبناني]]/90)</f>
        <v>0</v>
      </c>
      <c r="M345" s="6"/>
    </row>
    <row r="346" spans="8:13" s="8" customFormat="1" x14ac:dyDescent="0.3">
      <c r="H346" s="2" t="s">
        <v>144</v>
      </c>
      <c r="I346" s="21"/>
      <c r="J346" s="13"/>
      <c r="L346" s="26">
        <f>Table13456781011121314151617181920212223242526[[#This Row],[الدولار]]+(Table13456781011121314151617181920212223242526[[#This Row],[اللبناني]]/90)</f>
        <v>0</v>
      </c>
      <c r="M346" s="6"/>
    </row>
    <row r="347" spans="8:13" s="8" customFormat="1" x14ac:dyDescent="0.3">
      <c r="H347" s="2" t="s">
        <v>144</v>
      </c>
      <c r="I347" s="21"/>
      <c r="J347" s="13"/>
      <c r="L347" s="26">
        <f>Table13456781011121314151617181920212223242526[[#This Row],[الدولار]]+(Table13456781011121314151617181920212223242526[[#This Row],[اللبناني]]/90)</f>
        <v>0</v>
      </c>
      <c r="M347" s="6"/>
    </row>
    <row r="348" spans="8:13" s="8" customFormat="1" x14ac:dyDescent="0.3">
      <c r="H348" s="2" t="s">
        <v>144</v>
      </c>
      <c r="I348" s="21"/>
      <c r="J348" s="13"/>
      <c r="L348" s="26">
        <f>Table13456781011121314151617181920212223242526[[#This Row],[الدولار]]+(Table13456781011121314151617181920212223242526[[#This Row],[اللبناني]]/90)</f>
        <v>0</v>
      </c>
      <c r="M348" s="6"/>
    </row>
    <row r="349" spans="8:13" s="8" customFormat="1" x14ac:dyDescent="0.3">
      <c r="H349" s="2" t="s">
        <v>144</v>
      </c>
      <c r="I349" s="21"/>
      <c r="J349" s="13"/>
      <c r="L349" s="26">
        <f>Table13456781011121314151617181920212223242526[[#This Row],[الدولار]]+(Table13456781011121314151617181920212223242526[[#This Row],[اللبناني]]/90)</f>
        <v>0</v>
      </c>
      <c r="M349" s="6"/>
    </row>
    <row r="350" spans="8:13" s="8" customFormat="1" x14ac:dyDescent="0.3">
      <c r="H350" s="2" t="s">
        <v>144</v>
      </c>
      <c r="I350" s="21"/>
      <c r="J350" s="13"/>
      <c r="L350" s="26">
        <f>Table13456781011121314151617181920212223242526[[#This Row],[الدولار]]+(Table13456781011121314151617181920212223242526[[#This Row],[اللبناني]]/90)</f>
        <v>0</v>
      </c>
      <c r="M350" s="6"/>
    </row>
    <row r="351" spans="8:13" s="8" customFormat="1" x14ac:dyDescent="0.3">
      <c r="H351" s="2" t="s">
        <v>144</v>
      </c>
      <c r="I351" s="21"/>
      <c r="J351" s="13"/>
      <c r="L351" s="26">
        <f>Table13456781011121314151617181920212223242526[[#This Row],[الدولار]]+(Table13456781011121314151617181920212223242526[[#This Row],[اللبناني]]/90)</f>
        <v>0</v>
      </c>
      <c r="M351" s="6"/>
    </row>
    <row r="352" spans="8:13" s="8" customFormat="1" x14ac:dyDescent="0.3">
      <c r="H352" s="2" t="s">
        <v>144</v>
      </c>
      <c r="I352" s="21"/>
      <c r="J352" s="13"/>
      <c r="L352" s="26">
        <f>Table13456781011121314151617181920212223242526[[#This Row],[الدولار]]+(Table13456781011121314151617181920212223242526[[#This Row],[اللبناني]]/90)</f>
        <v>0</v>
      </c>
      <c r="M352" s="6"/>
    </row>
    <row r="353" spans="8:13" s="8" customFormat="1" x14ac:dyDescent="0.3">
      <c r="H353" s="2" t="s">
        <v>144</v>
      </c>
      <c r="I353" s="21"/>
      <c r="J353" s="13"/>
      <c r="L353" s="26">
        <f>Table13456781011121314151617181920212223242526[[#This Row],[الدولار]]+(Table13456781011121314151617181920212223242526[[#This Row],[اللبناني]]/90)</f>
        <v>0</v>
      </c>
      <c r="M353" s="6"/>
    </row>
    <row r="354" spans="8:13" s="8" customFormat="1" x14ac:dyDescent="0.3">
      <c r="H354" s="2" t="s">
        <v>144</v>
      </c>
      <c r="I354" s="21"/>
      <c r="J354" s="13"/>
      <c r="L354" s="26">
        <f>Table13456781011121314151617181920212223242526[[#This Row],[الدولار]]+(Table13456781011121314151617181920212223242526[[#This Row],[اللبناني]]/90)</f>
        <v>0</v>
      </c>
      <c r="M354" s="6"/>
    </row>
  </sheetData>
  <mergeCells count="4">
    <mergeCell ref="A13:F13"/>
    <mergeCell ref="N13:S13"/>
    <mergeCell ref="Q22:R22"/>
    <mergeCell ref="N23:O23"/>
  </mergeCells>
  <pageMargins left="0.25" right="0.25" top="0.75" bottom="0.75" header="0.3" footer="0.3"/>
  <pageSetup paperSize="9" scale="13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9D305-35C9-4ABE-A51C-E8B30CB66E4C}">
  <sheetPr>
    <pageSetUpPr fitToPage="1"/>
  </sheetPr>
  <dimension ref="A1:S354"/>
  <sheetViews>
    <sheetView rightToLeft="1" topLeftCell="A7" zoomScale="115" zoomScaleNormal="115" workbookViewId="0">
      <selection activeCell="I135" sqref="I135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8.44140625" style="2" bestFit="1" customWidth="1"/>
    <col min="4" max="4" width="10.44140625" style="2" customWidth="1"/>
    <col min="5" max="5" width="7" style="2" customWidth="1"/>
    <col min="6" max="6" width="10.88671875" style="2" bestFit="1" customWidth="1"/>
    <col min="7" max="7" width="2.44140625" style="2" customWidth="1"/>
    <col min="8" max="8" width="8.88671875" style="2" bestFit="1" customWidth="1"/>
    <col min="9" max="9" width="14.109375" style="21" bestFit="1" customWidth="1"/>
    <col min="10" max="10" width="12.109375" style="7" bestFit="1" customWidth="1"/>
    <col min="11" max="11" width="8.5546875" style="8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1.109375" style="2" bestFit="1" customWidth="1"/>
    <col min="20" max="16384" width="8.88671875" style="2"/>
  </cols>
  <sheetData>
    <row r="1" spans="1:19" x14ac:dyDescent="0.3">
      <c r="I1" s="21" t="s">
        <v>22</v>
      </c>
      <c r="J1" s="7">
        <f>SUM(J3:J11)</f>
        <v>-1180</v>
      </c>
      <c r="K1" s="7">
        <f>SUM(K3:K11)</f>
        <v>14</v>
      </c>
      <c r="L1" s="7">
        <f>SUM(L3:L11)</f>
        <v>0.88888888888889106</v>
      </c>
    </row>
    <row r="2" spans="1:19" x14ac:dyDescent="0.3">
      <c r="H2" s="2" t="s">
        <v>136</v>
      </c>
      <c r="I2" s="22" t="s">
        <v>6</v>
      </c>
      <c r="J2" s="3" t="s">
        <v>5</v>
      </c>
      <c r="K2" s="9" t="s">
        <v>4</v>
      </c>
      <c r="L2" s="9" t="s">
        <v>125</v>
      </c>
    </row>
    <row r="3" spans="1:19" x14ac:dyDescent="0.3">
      <c r="H3" s="5" t="s">
        <v>145</v>
      </c>
      <c r="I3" s="23"/>
      <c r="J3" s="15">
        <v>-300</v>
      </c>
      <c r="L3" s="26">
        <f t="shared" ref="L3:L11" si="0">K3+(J3/90)</f>
        <v>-3.3333333333333335</v>
      </c>
    </row>
    <row r="4" spans="1:19" x14ac:dyDescent="0.3">
      <c r="H4" s="5" t="s">
        <v>145</v>
      </c>
      <c r="I4" s="23"/>
      <c r="J4" s="15">
        <v>-480</v>
      </c>
      <c r="L4" s="26">
        <f t="shared" si="0"/>
        <v>-5.333333333333333</v>
      </c>
    </row>
    <row r="5" spans="1:19" x14ac:dyDescent="0.3">
      <c r="H5" s="5" t="s">
        <v>144</v>
      </c>
      <c r="I5" s="23"/>
      <c r="J5" s="15"/>
      <c r="K5" s="8">
        <v>19</v>
      </c>
      <c r="L5" s="26">
        <f t="shared" si="0"/>
        <v>19</v>
      </c>
    </row>
    <row r="6" spans="1:19" x14ac:dyDescent="0.3">
      <c r="H6" s="5" t="s">
        <v>144</v>
      </c>
      <c r="I6" s="23"/>
      <c r="J6" s="15"/>
      <c r="K6" s="8">
        <v>10</v>
      </c>
      <c r="L6" s="26">
        <f t="shared" si="0"/>
        <v>10</v>
      </c>
    </row>
    <row r="7" spans="1:19" x14ac:dyDescent="0.3">
      <c r="H7" s="5" t="s">
        <v>146</v>
      </c>
      <c r="I7" s="24"/>
      <c r="J7" s="15">
        <v>-400</v>
      </c>
      <c r="L7" s="26">
        <f t="shared" si="0"/>
        <v>-4.4444444444444446</v>
      </c>
    </row>
    <row r="8" spans="1:19" x14ac:dyDescent="0.3">
      <c r="H8" s="5" t="s">
        <v>144</v>
      </c>
      <c r="I8" s="23"/>
      <c r="J8" s="15"/>
      <c r="L8" s="26">
        <f t="shared" si="0"/>
        <v>0</v>
      </c>
    </row>
    <row r="9" spans="1:19" x14ac:dyDescent="0.3">
      <c r="H9" s="2" t="s">
        <v>144</v>
      </c>
      <c r="I9" s="23"/>
      <c r="J9" s="15"/>
      <c r="K9" s="8">
        <v>-15</v>
      </c>
      <c r="L9" s="26">
        <f t="shared" si="0"/>
        <v>-15</v>
      </c>
    </row>
    <row r="10" spans="1:19" x14ac:dyDescent="0.3">
      <c r="H10" s="2" t="s">
        <v>144</v>
      </c>
      <c r="I10" s="23"/>
      <c r="J10" s="15"/>
      <c r="L10" s="26">
        <f t="shared" si="0"/>
        <v>0</v>
      </c>
    </row>
    <row r="11" spans="1:19" x14ac:dyDescent="0.3">
      <c r="I11" s="23"/>
      <c r="J11" s="15"/>
      <c r="L11" s="26">
        <f t="shared" si="0"/>
        <v>0</v>
      </c>
    </row>
    <row r="12" spans="1:19" x14ac:dyDescent="0.3">
      <c r="A12" s="31" t="s">
        <v>175</v>
      </c>
    </row>
    <row r="13" spans="1:19" x14ac:dyDescent="0.3">
      <c r="A13" s="48" t="s">
        <v>19</v>
      </c>
      <c r="B13" s="48"/>
      <c r="C13" s="48"/>
      <c r="D13" s="48"/>
      <c r="E13" s="48"/>
      <c r="F13" s="48"/>
      <c r="I13" s="21" t="s">
        <v>22</v>
      </c>
      <c r="J13" s="7">
        <f>SUM(Table1345678101112131415161718192021222324252627[اللبناني])</f>
        <v>935</v>
      </c>
      <c r="K13" s="7">
        <f>SUM(Table1345678101112131415161718192021222324252627[الدولار])</f>
        <v>1047</v>
      </c>
      <c r="L13" s="7">
        <f>SUM(Table1345678101112131415161718192021222324252627[مبيع $])</f>
        <v>1057.3888888888896</v>
      </c>
      <c r="N13" s="48" t="s">
        <v>21</v>
      </c>
      <c r="O13" s="48"/>
      <c r="P13" s="48"/>
      <c r="Q13" s="48"/>
      <c r="R13" s="48"/>
      <c r="S13" s="48"/>
    </row>
    <row r="14" spans="1:19" x14ac:dyDescent="0.3">
      <c r="A14" s="1" t="s">
        <v>2</v>
      </c>
      <c r="B14" s="1" t="s">
        <v>0</v>
      </c>
      <c r="C14" s="1" t="s">
        <v>1</v>
      </c>
      <c r="D14" s="1" t="s">
        <v>3</v>
      </c>
      <c r="E14" s="1" t="s">
        <v>0</v>
      </c>
      <c r="F14" s="1" t="s">
        <v>1</v>
      </c>
      <c r="H14" s="2" t="s">
        <v>136</v>
      </c>
      <c r="I14" s="22" t="s">
        <v>6</v>
      </c>
      <c r="J14" s="3" t="s">
        <v>5</v>
      </c>
      <c r="K14" s="9" t="s">
        <v>4</v>
      </c>
      <c r="L14" s="9" t="s">
        <v>125</v>
      </c>
      <c r="M14" s="2"/>
      <c r="N14" s="1" t="s">
        <v>2</v>
      </c>
      <c r="O14" s="1" t="s">
        <v>0</v>
      </c>
      <c r="P14" s="1" t="s">
        <v>1</v>
      </c>
      <c r="Q14" s="1" t="s">
        <v>3</v>
      </c>
      <c r="R14" s="1" t="s">
        <v>0</v>
      </c>
      <c r="S14" s="1" t="s">
        <v>1</v>
      </c>
    </row>
    <row r="15" spans="1:19" x14ac:dyDescent="0.3">
      <c r="A15" s="11">
        <v>1</v>
      </c>
      <c r="B15" s="2">
        <v>3</v>
      </c>
      <c r="C15" s="16">
        <f>A15*B15</f>
        <v>3</v>
      </c>
      <c r="D15" s="12">
        <v>5</v>
      </c>
      <c r="E15" s="2">
        <v>26</v>
      </c>
      <c r="F15" s="18">
        <f>D15*E15</f>
        <v>130</v>
      </c>
      <c r="G15" s="5"/>
      <c r="H15" s="2" t="s">
        <v>144</v>
      </c>
      <c r="I15" s="23" t="s">
        <v>168</v>
      </c>
      <c r="J15" s="15"/>
      <c r="K15" s="8">
        <v>5</v>
      </c>
      <c r="L15" s="26">
        <f>Table1345678101112131415161718192021222324252627[[#This Row],[الدولار]]+(Table1345678101112131415161718192021222324252627[[#This Row],[اللبناني]]/90)</f>
        <v>5</v>
      </c>
      <c r="N15" s="11">
        <v>1</v>
      </c>
      <c r="P15" s="16">
        <f>N15*O15</f>
        <v>0</v>
      </c>
      <c r="Q15" s="12">
        <v>5</v>
      </c>
      <c r="R15" s="2">
        <v>27</v>
      </c>
      <c r="S15" s="18">
        <f>Q15*R15</f>
        <v>135</v>
      </c>
    </row>
    <row r="16" spans="1:19" x14ac:dyDescent="0.3">
      <c r="A16" s="11">
        <v>5</v>
      </c>
      <c r="B16" s="2">
        <v>4</v>
      </c>
      <c r="C16" s="16">
        <f t="shared" ref="C16:C20" si="1">A16*B16</f>
        <v>20</v>
      </c>
      <c r="D16" s="12">
        <v>10</v>
      </c>
      <c r="E16" s="2">
        <v>20</v>
      </c>
      <c r="F16" s="18">
        <f t="shared" ref="F16:F19" si="2">D16*E16</f>
        <v>200</v>
      </c>
      <c r="G16" s="5"/>
      <c r="H16" s="2" t="s">
        <v>145</v>
      </c>
      <c r="I16" s="23" t="s">
        <v>169</v>
      </c>
      <c r="J16" s="15">
        <v>-300</v>
      </c>
      <c r="L16" s="26">
        <f>Table1345678101112131415161718192021222324252627[[#This Row],[الدولار]]+(Table1345678101112131415161718192021222324252627[[#This Row],[اللبناني]]/90)</f>
        <v>-3.3333333333333335</v>
      </c>
      <c r="N16" s="11">
        <v>5</v>
      </c>
      <c r="O16" s="2">
        <v>4</v>
      </c>
      <c r="P16" s="16">
        <f t="shared" ref="P16:P20" si="3">N16*O16</f>
        <v>20</v>
      </c>
      <c r="Q16" s="12">
        <v>10</v>
      </c>
      <c r="R16" s="2">
        <v>12</v>
      </c>
      <c r="S16" s="18">
        <f t="shared" ref="S16:S19" si="4">Q16*R16</f>
        <v>120</v>
      </c>
    </row>
    <row r="17" spans="1:19" x14ac:dyDescent="0.3">
      <c r="A17" s="11">
        <v>10</v>
      </c>
      <c r="B17" s="2">
        <v>55</v>
      </c>
      <c r="C17" s="16">
        <f t="shared" si="1"/>
        <v>550</v>
      </c>
      <c r="D17" s="12">
        <v>20</v>
      </c>
      <c r="E17" s="2">
        <v>3</v>
      </c>
      <c r="F17" s="18">
        <f t="shared" si="2"/>
        <v>60</v>
      </c>
      <c r="G17" s="5"/>
      <c r="H17" s="2" t="s">
        <v>144</v>
      </c>
      <c r="I17" s="23"/>
      <c r="J17" s="15">
        <v>-315</v>
      </c>
      <c r="K17" s="8">
        <v>10</v>
      </c>
      <c r="L17" s="26">
        <f>Table1345678101112131415161718192021222324252627[[#This Row],[الدولار]]+(Table1345678101112131415161718192021222324252627[[#This Row],[اللبناني]]/90)</f>
        <v>6.5</v>
      </c>
      <c r="N17" s="11">
        <v>10</v>
      </c>
      <c r="O17" s="2">
        <v>54</v>
      </c>
      <c r="P17" s="16">
        <f t="shared" si="3"/>
        <v>540</v>
      </c>
      <c r="Q17" s="12">
        <v>20</v>
      </c>
      <c r="R17" s="2">
        <v>1</v>
      </c>
      <c r="S17" s="18">
        <f t="shared" si="4"/>
        <v>20</v>
      </c>
    </row>
    <row r="18" spans="1:19" x14ac:dyDescent="0.3">
      <c r="A18" s="11">
        <v>20</v>
      </c>
      <c r="B18" s="2">
        <v>20</v>
      </c>
      <c r="C18" s="16">
        <f t="shared" si="1"/>
        <v>400</v>
      </c>
      <c r="D18" s="12">
        <v>50</v>
      </c>
      <c r="F18" s="18">
        <f t="shared" si="2"/>
        <v>0</v>
      </c>
      <c r="G18" s="5"/>
      <c r="H18" s="2" t="s">
        <v>144</v>
      </c>
      <c r="I18" s="23" t="s">
        <v>170</v>
      </c>
      <c r="J18" s="15">
        <v>320</v>
      </c>
      <c r="L18" s="26">
        <f>Table1345678101112131415161718192021222324252627[[#This Row],[الدولار]]+(Table1345678101112131415161718192021222324252627[[#This Row],[اللبناني]]/90)</f>
        <v>3.5555555555555554</v>
      </c>
      <c r="N18" s="11">
        <v>20</v>
      </c>
      <c r="O18" s="2">
        <v>39</v>
      </c>
      <c r="P18" s="16">
        <f t="shared" si="3"/>
        <v>780</v>
      </c>
      <c r="Q18" s="12">
        <v>50</v>
      </c>
      <c r="R18" s="2">
        <v>4</v>
      </c>
      <c r="S18" s="18">
        <f t="shared" si="4"/>
        <v>200</v>
      </c>
    </row>
    <row r="19" spans="1:19" x14ac:dyDescent="0.3">
      <c r="A19" s="11">
        <v>50</v>
      </c>
      <c r="B19" s="2">
        <v>2</v>
      </c>
      <c r="C19" s="16">
        <f t="shared" si="1"/>
        <v>100</v>
      </c>
      <c r="D19" s="12">
        <v>100</v>
      </c>
      <c r="E19" s="2">
        <v>6</v>
      </c>
      <c r="F19" s="18">
        <f t="shared" si="2"/>
        <v>600</v>
      </c>
      <c r="G19" s="5"/>
      <c r="H19" s="2" t="s">
        <v>144</v>
      </c>
      <c r="I19" s="24"/>
      <c r="J19" s="15"/>
      <c r="K19" s="8">
        <v>5</v>
      </c>
      <c r="L19" s="26">
        <f>Table1345678101112131415161718192021222324252627[[#This Row],[الدولار]]+(Table1345678101112131415161718192021222324252627[[#This Row],[اللبناني]]/90)</f>
        <v>5</v>
      </c>
      <c r="N19" s="11">
        <v>50</v>
      </c>
      <c r="O19" s="2">
        <v>4</v>
      </c>
      <c r="P19" s="16">
        <f t="shared" si="3"/>
        <v>200</v>
      </c>
      <c r="Q19" s="12">
        <v>100</v>
      </c>
      <c r="R19" s="2">
        <v>10</v>
      </c>
      <c r="S19" s="18">
        <f t="shared" si="4"/>
        <v>1000</v>
      </c>
    </row>
    <row r="20" spans="1:19" x14ac:dyDescent="0.3">
      <c r="A20" s="11">
        <v>100</v>
      </c>
      <c r="C20" s="16">
        <f t="shared" si="1"/>
        <v>0</v>
      </c>
      <c r="D20" s="1" t="s">
        <v>1</v>
      </c>
      <c r="E20" s="1"/>
      <c r="F20" s="14">
        <f>SUM(F15:F19)</f>
        <v>990</v>
      </c>
      <c r="G20" s="5"/>
      <c r="H20" s="2" t="s">
        <v>144</v>
      </c>
      <c r="I20" s="23"/>
      <c r="J20" s="15"/>
      <c r="K20" s="8">
        <v>2</v>
      </c>
      <c r="L20" s="26">
        <f>Table1345678101112131415161718192021222324252627[[#This Row],[الدولار]]+(Table1345678101112131415161718192021222324252627[[#This Row],[اللبناني]]/90)</f>
        <v>2</v>
      </c>
      <c r="N20" s="11">
        <v>100</v>
      </c>
      <c r="O20" s="2">
        <v>6</v>
      </c>
      <c r="P20" s="16">
        <f t="shared" si="3"/>
        <v>600</v>
      </c>
      <c r="Q20" s="1" t="s">
        <v>1</v>
      </c>
      <c r="R20" s="1"/>
      <c r="S20" s="14">
        <f>SUM(S15:S19)</f>
        <v>1475</v>
      </c>
    </row>
    <row r="21" spans="1:19" x14ac:dyDescent="0.3">
      <c r="A21" s="1" t="s">
        <v>1</v>
      </c>
      <c r="B21" s="1"/>
      <c r="C21" s="17">
        <f>SUM(C15:C20)</f>
        <v>1073</v>
      </c>
      <c r="H21" s="2" t="s">
        <v>144</v>
      </c>
      <c r="I21" s="23" t="s">
        <v>171</v>
      </c>
      <c r="J21" s="15">
        <v>250</v>
      </c>
      <c r="K21" s="8">
        <v>60</v>
      </c>
      <c r="L21" s="26">
        <f>Table1345678101112131415161718192021222324252627[[#This Row],[الدولار]]+(Table1345678101112131415161718192021222324252627[[#This Row],[اللبناني]]/90)</f>
        <v>62.777777777777779</v>
      </c>
      <c r="N21" s="1" t="s">
        <v>1</v>
      </c>
      <c r="O21" s="1"/>
      <c r="P21" s="17">
        <f>SUM(P15:P20)</f>
        <v>2140</v>
      </c>
      <c r="S21" s="15"/>
    </row>
    <row r="22" spans="1:19" x14ac:dyDescent="0.3">
      <c r="C22" s="20"/>
      <c r="D22" s="47" t="s">
        <v>24</v>
      </c>
      <c r="E22" s="47"/>
      <c r="F22" s="19">
        <f ca="1">INDIRECT("'"&amp;$A$12&amp;"'!J13")+J1</f>
        <v>-1250</v>
      </c>
      <c r="H22" s="2" t="s">
        <v>144</v>
      </c>
      <c r="I22" s="23" t="s">
        <v>172</v>
      </c>
      <c r="J22" s="15">
        <v>150</v>
      </c>
      <c r="L22" s="26">
        <f>Table1345678101112131415161718192021222324252627[[#This Row],[الدولار]]+(Table1345678101112131415161718192021222324252627[[#This Row],[اللبناني]]/90)</f>
        <v>1.6666666666666667</v>
      </c>
      <c r="P22" s="20"/>
      <c r="Q22" s="47" t="s">
        <v>24</v>
      </c>
      <c r="R22" s="47"/>
      <c r="S22" s="19">
        <f>SUM(Table1345678101112131415161718192021222324252627[اللبناني])</f>
        <v>935</v>
      </c>
    </row>
    <row r="23" spans="1:19" x14ac:dyDescent="0.3">
      <c r="A23" s="47" t="s">
        <v>23</v>
      </c>
      <c r="B23" s="47"/>
      <c r="C23" s="9">
        <f ca="1">INDIRECT("'"&amp;$A$12&amp;"'!K13")+K1</f>
        <v>-72</v>
      </c>
      <c r="F23" s="15"/>
      <c r="H23" s="2" t="s">
        <v>144</v>
      </c>
      <c r="I23" s="23" t="s">
        <v>93</v>
      </c>
      <c r="J23" s="15">
        <v>-300</v>
      </c>
      <c r="K23" s="8">
        <v>60</v>
      </c>
      <c r="L23" s="26">
        <f>Table1345678101112131415161718192021222324252627[[#This Row],[الدولار]]+(Table1345678101112131415161718192021222324252627[[#This Row],[اللبناني]]/90)</f>
        <v>56.666666666666664</v>
      </c>
      <c r="N23" s="47" t="s">
        <v>23</v>
      </c>
      <c r="O23" s="47"/>
      <c r="P23" s="9">
        <f>SUM(Table1345678101112131415161718192021222324252627[الدولار])</f>
        <v>1047</v>
      </c>
      <c r="S23" s="15"/>
    </row>
    <row r="24" spans="1:19" x14ac:dyDescent="0.3">
      <c r="C24" s="20"/>
      <c r="D24" s="1" t="s">
        <v>17</v>
      </c>
      <c r="E24" s="1"/>
      <c r="F24" s="19">
        <f ca="1">F20-F22-INDIRECT("'"&amp;$A$12&amp;"'!f20")</f>
        <v>0</v>
      </c>
      <c r="H24" s="2" t="s">
        <v>144</v>
      </c>
      <c r="I24" s="23" t="s">
        <v>173</v>
      </c>
      <c r="J24" s="15"/>
      <c r="K24" s="8">
        <v>480</v>
      </c>
      <c r="L24" s="26">
        <f>Table1345678101112131415161718192021222324252627[[#This Row],[الدولار]]+(Table1345678101112131415161718192021222324252627[[#This Row],[اللبناني]]/90)</f>
        <v>480</v>
      </c>
      <c r="P24" s="20"/>
      <c r="Q24" s="1" t="s">
        <v>17</v>
      </c>
      <c r="R24" s="1"/>
      <c r="S24" s="19">
        <f>S20-S22-F20</f>
        <v>-450</v>
      </c>
    </row>
    <row r="25" spans="1:19" x14ac:dyDescent="0.3">
      <c r="A25" s="1" t="s">
        <v>17</v>
      </c>
      <c r="B25" s="1"/>
      <c r="C25" s="9">
        <f ca="1">C21-C23-INDIRECT("'"&amp;$A$12&amp;"'!c21")</f>
        <v>0</v>
      </c>
      <c r="H25" s="2" t="s">
        <v>144</v>
      </c>
      <c r="I25" s="23" t="s">
        <v>174</v>
      </c>
      <c r="J25" s="15">
        <v>40</v>
      </c>
      <c r="L25" s="26">
        <f>Table1345678101112131415161718192021222324252627[[#This Row],[الدولار]]+(Table1345678101112131415161718192021222324252627[[#This Row],[اللبناني]]/90)</f>
        <v>0.44444444444444442</v>
      </c>
      <c r="N25" s="1" t="s">
        <v>17</v>
      </c>
      <c r="O25" s="1"/>
      <c r="P25" s="9">
        <f>P21-P23-C21</f>
        <v>20</v>
      </c>
    </row>
    <row r="26" spans="1:19" x14ac:dyDescent="0.3">
      <c r="C26" s="10"/>
      <c r="D26" s="10"/>
      <c r="F26" s="10"/>
      <c r="H26" s="2" t="s">
        <v>144</v>
      </c>
      <c r="I26" s="25" t="s">
        <v>176</v>
      </c>
      <c r="J26" s="13"/>
      <c r="K26" s="8">
        <v>45</v>
      </c>
      <c r="L26" s="26">
        <f>Table1345678101112131415161718192021222324252627[[#This Row],[الدولار]]+(Table1345678101112131415161718192021222324252627[[#This Row],[اللبناني]]/90)</f>
        <v>45</v>
      </c>
    </row>
    <row r="27" spans="1:19" x14ac:dyDescent="0.3">
      <c r="C27" s="10"/>
      <c r="D27" s="10"/>
      <c r="F27" s="10"/>
      <c r="H27" s="2" t="s">
        <v>144</v>
      </c>
      <c r="I27" s="25" t="s">
        <v>10</v>
      </c>
      <c r="J27" s="13">
        <v>50</v>
      </c>
      <c r="K27" s="8">
        <v>5</v>
      </c>
      <c r="L27" s="26">
        <f>Table1345678101112131415161718192021222324252627[[#This Row],[الدولار]]+(Table1345678101112131415161718192021222324252627[[#This Row],[اللبناني]]/90)</f>
        <v>5.5555555555555554</v>
      </c>
    </row>
    <row r="28" spans="1:19" x14ac:dyDescent="0.3">
      <c r="C28" s="10"/>
      <c r="D28" s="10"/>
      <c r="F28" s="10"/>
      <c r="H28" s="2" t="s">
        <v>144</v>
      </c>
      <c r="I28" s="23" t="s">
        <v>177</v>
      </c>
      <c r="J28" s="13">
        <v>400</v>
      </c>
      <c r="K28" s="8">
        <v>390</v>
      </c>
      <c r="L28" s="26">
        <f>Table1345678101112131415161718192021222324252627[[#This Row],[الدولار]]+(Table1345678101112131415161718192021222324252627[[#This Row],[اللبناني]]/90)</f>
        <v>394.44444444444446</v>
      </c>
    </row>
    <row r="29" spans="1:19" s="8" customFormat="1" x14ac:dyDescent="0.3">
      <c r="C29" s="10"/>
      <c r="D29" s="10"/>
      <c r="E29" s="2"/>
      <c r="F29" s="10"/>
      <c r="G29" s="2"/>
      <c r="H29" s="2" t="s">
        <v>144</v>
      </c>
      <c r="I29" s="25" t="s">
        <v>178</v>
      </c>
      <c r="J29" s="15">
        <v>300</v>
      </c>
      <c r="L29" s="26">
        <f>Table1345678101112131415161718192021222324252627[[#This Row],[الدولار]]+(Table1345678101112131415161718192021222324252627[[#This Row],[اللبناني]]/90)</f>
        <v>3.3333333333333335</v>
      </c>
      <c r="M29" s="6"/>
    </row>
    <row r="30" spans="1:19" s="8" customFormat="1" x14ac:dyDescent="0.3">
      <c r="C30" s="10"/>
      <c r="D30" s="2"/>
      <c r="E30" s="2"/>
      <c r="F30" s="10"/>
      <c r="G30" s="2"/>
      <c r="H30" s="2" t="s">
        <v>144</v>
      </c>
      <c r="I30" s="25" t="s">
        <v>179</v>
      </c>
      <c r="J30" s="15"/>
      <c r="K30" s="8">
        <v>90</v>
      </c>
      <c r="L30" s="26">
        <f>Table1345678101112131415161718192021222324252627[[#This Row],[الدولار]]+(Table1345678101112131415161718192021222324252627[[#This Row],[اللبناني]]/90)</f>
        <v>90</v>
      </c>
      <c r="M30" s="6"/>
    </row>
    <row r="31" spans="1:19" s="8" customFormat="1" x14ac:dyDescent="0.3">
      <c r="C31" s="10"/>
      <c r="D31" s="2"/>
      <c r="E31" s="2"/>
      <c r="F31" s="2"/>
      <c r="G31" s="2"/>
      <c r="H31" s="2" t="s">
        <v>144</v>
      </c>
      <c r="I31" s="25" t="s">
        <v>180</v>
      </c>
      <c r="J31" s="15">
        <v>550</v>
      </c>
      <c r="L31" s="26">
        <f>Table1345678101112131415161718192021222324252627[[#This Row],[الدولار]]+(Table1345678101112131415161718192021222324252627[[#This Row],[اللبناني]]/90)</f>
        <v>6.1111111111111107</v>
      </c>
      <c r="M31" s="6"/>
    </row>
    <row r="32" spans="1:19" s="8" customFormat="1" x14ac:dyDescent="0.3">
      <c r="C32" s="2"/>
      <c r="D32" s="2"/>
      <c r="E32" s="2"/>
      <c r="F32" s="6"/>
      <c r="G32" s="2"/>
      <c r="H32" s="2" t="s">
        <v>144</v>
      </c>
      <c r="I32" s="23" t="s">
        <v>181</v>
      </c>
      <c r="J32" s="15">
        <v>-90</v>
      </c>
      <c r="K32" s="8">
        <v>125</v>
      </c>
      <c r="L32" s="26">
        <f>Table1345678101112131415161718192021222324252627[[#This Row],[الدولار]]+(Table1345678101112131415161718192021222324252627[[#This Row],[اللبناني]]/90)</f>
        <v>124</v>
      </c>
      <c r="M32" s="6"/>
    </row>
    <row r="33" spans="3:13" s="8" customFormat="1" x14ac:dyDescent="0.3">
      <c r="C33" s="6"/>
      <c r="D33" s="2"/>
      <c r="E33" s="2"/>
      <c r="F33" s="2"/>
      <c r="G33" s="2"/>
      <c r="H33" s="2" t="s">
        <v>144</v>
      </c>
      <c r="I33" s="23" t="s">
        <v>182</v>
      </c>
      <c r="J33" s="15"/>
      <c r="K33" s="8">
        <v>5</v>
      </c>
      <c r="L33" s="26">
        <f>Table1345678101112131415161718192021222324252627[[#This Row],[الدولار]]+(Table1345678101112131415161718192021222324252627[[#This Row],[اللبناني]]/90)</f>
        <v>5</v>
      </c>
      <c r="M33" s="6"/>
    </row>
    <row r="34" spans="3:13" s="8" customFormat="1" x14ac:dyDescent="0.3">
      <c r="C34" s="2"/>
      <c r="D34" s="2"/>
      <c r="E34" s="2"/>
      <c r="F34" s="6"/>
      <c r="G34" s="2"/>
      <c r="H34" s="2" t="s">
        <v>144</v>
      </c>
      <c r="I34" s="23" t="s">
        <v>183</v>
      </c>
      <c r="J34" s="15">
        <v>-540</v>
      </c>
      <c r="K34" s="8">
        <v>40</v>
      </c>
      <c r="L34" s="26">
        <f>Table1345678101112131415161718192021222324252627[[#This Row],[الدولار]]+(Table1345678101112131415161718192021222324252627[[#This Row],[اللبناني]]/90)</f>
        <v>34</v>
      </c>
      <c r="M34" s="6"/>
    </row>
    <row r="35" spans="3:13" s="8" customFormat="1" x14ac:dyDescent="0.3">
      <c r="C35" s="6"/>
      <c r="D35" s="2"/>
      <c r="E35" s="2"/>
      <c r="F35" s="2"/>
      <c r="G35" s="2"/>
      <c r="H35" s="2" t="s">
        <v>144</v>
      </c>
      <c r="I35" s="23" t="s">
        <v>184</v>
      </c>
      <c r="J35" s="15">
        <v>100</v>
      </c>
      <c r="L35" s="26">
        <f>Table1345678101112131415161718192021222324252627[[#This Row],[الدولار]]+(Table1345678101112131415161718192021222324252627[[#This Row],[اللبناني]]/90)</f>
        <v>1.1111111111111112</v>
      </c>
      <c r="M35" s="6"/>
    </row>
    <row r="36" spans="3:13" s="8" customFormat="1" x14ac:dyDescent="0.3">
      <c r="C36" s="2"/>
      <c r="D36" s="2"/>
      <c r="E36" s="2"/>
      <c r="F36" s="2"/>
      <c r="G36" s="2"/>
      <c r="H36" s="2" t="s">
        <v>146</v>
      </c>
      <c r="I36" s="23" t="s">
        <v>65</v>
      </c>
      <c r="J36" s="15">
        <v>-300</v>
      </c>
      <c r="L36" s="26">
        <f>Table1345678101112131415161718192021222324252627[[#This Row],[الدولار]]+(Table1345678101112131415161718192021222324252627[[#This Row],[اللبناني]]/90)</f>
        <v>-3.3333333333333335</v>
      </c>
      <c r="M36" s="6"/>
    </row>
    <row r="37" spans="3:13" s="8" customFormat="1" x14ac:dyDescent="0.3">
      <c r="C37" s="2"/>
      <c r="D37" s="2"/>
      <c r="E37" s="2"/>
      <c r="F37" s="2"/>
      <c r="G37" s="2"/>
      <c r="H37" s="2" t="s">
        <v>144</v>
      </c>
      <c r="I37" s="23" t="s">
        <v>185</v>
      </c>
      <c r="J37" s="15"/>
      <c r="K37" s="8">
        <v>22</v>
      </c>
      <c r="L37" s="26">
        <f>Table1345678101112131415161718192021222324252627[[#This Row],[الدولار]]+(Table1345678101112131415161718192021222324252627[[#This Row],[اللبناني]]/90)</f>
        <v>22</v>
      </c>
      <c r="M37" s="6"/>
    </row>
    <row r="38" spans="3:13" s="8" customFormat="1" x14ac:dyDescent="0.3">
      <c r="C38" s="2"/>
      <c r="D38" s="2"/>
      <c r="E38" s="2"/>
      <c r="F38" s="2"/>
      <c r="G38" s="2"/>
      <c r="H38" s="2" t="s">
        <v>146</v>
      </c>
      <c r="I38" s="23" t="s">
        <v>148</v>
      </c>
      <c r="J38" s="15"/>
      <c r="K38" s="8">
        <v>-22</v>
      </c>
      <c r="L38" s="26">
        <f>Table1345678101112131415161718192021222324252627[[#This Row],[الدولار]]+(Table1345678101112131415161718192021222324252627[[#This Row],[اللبناني]]/90)</f>
        <v>-22</v>
      </c>
      <c r="M38" s="6"/>
    </row>
    <row r="39" spans="3:13" s="8" customFormat="1" x14ac:dyDescent="0.3">
      <c r="C39" s="2"/>
      <c r="D39" s="2"/>
      <c r="E39" s="2"/>
      <c r="F39" s="2"/>
      <c r="G39" s="2"/>
      <c r="H39" s="2" t="s">
        <v>144</v>
      </c>
      <c r="I39" s="23" t="s">
        <v>186</v>
      </c>
      <c r="J39" s="13">
        <v>150</v>
      </c>
      <c r="L39" s="26">
        <f>Table1345678101112131415161718192021222324252627[[#This Row],[الدولار]]+(Table1345678101112131415161718192021222324252627[[#This Row],[اللبناني]]/90)</f>
        <v>1.6666666666666667</v>
      </c>
      <c r="M39" s="6"/>
    </row>
    <row r="40" spans="3:13" s="8" customFormat="1" x14ac:dyDescent="0.3">
      <c r="C40" s="2"/>
      <c r="D40" s="2"/>
      <c r="E40" s="2"/>
      <c r="F40" s="2"/>
      <c r="G40" s="2"/>
      <c r="H40" s="2" t="s">
        <v>144</v>
      </c>
      <c r="I40" s="21" t="s">
        <v>187</v>
      </c>
      <c r="J40" s="13">
        <v>100</v>
      </c>
      <c r="K40" s="8">
        <v>10</v>
      </c>
      <c r="L40" s="26">
        <f>Table1345678101112131415161718192021222324252627[[#This Row],[الدولار]]+(Table1345678101112131415161718192021222324252627[[#This Row],[اللبناني]]/90)</f>
        <v>11.111111111111111</v>
      </c>
      <c r="M40" s="6"/>
    </row>
    <row r="41" spans="3:13" s="8" customFormat="1" x14ac:dyDescent="0.3">
      <c r="C41" s="2"/>
      <c r="D41" s="2"/>
      <c r="E41" s="2"/>
      <c r="F41" s="2"/>
      <c r="G41" s="2"/>
      <c r="H41" s="2" t="s">
        <v>145</v>
      </c>
      <c r="I41" s="21" t="s">
        <v>188</v>
      </c>
      <c r="J41" s="13"/>
      <c r="K41" s="8">
        <v>-60</v>
      </c>
      <c r="L41" s="26">
        <f>Table1345678101112131415161718192021222324252627[[#This Row],[الدولار]]+(Table1345678101112131415161718192021222324252627[[#This Row],[اللبناني]]/90)</f>
        <v>-60</v>
      </c>
      <c r="M41" s="6"/>
    </row>
    <row r="42" spans="3:13" s="8" customFormat="1" x14ac:dyDescent="0.3">
      <c r="C42" s="2"/>
      <c r="D42" s="2"/>
      <c r="E42" s="2"/>
      <c r="F42" s="2"/>
      <c r="G42" s="2"/>
      <c r="H42" s="2" t="s">
        <v>144</v>
      </c>
      <c r="I42" s="21" t="s">
        <v>87</v>
      </c>
      <c r="J42" s="13">
        <v>270</v>
      </c>
      <c r="L42" s="26">
        <f>Table1345678101112131415161718192021222324252627[[#This Row],[الدولار]]+(Table1345678101112131415161718192021222324252627[[#This Row],[اللبناني]]/90)</f>
        <v>3</v>
      </c>
      <c r="M42" s="6"/>
    </row>
    <row r="43" spans="3:13" s="8" customFormat="1" x14ac:dyDescent="0.3">
      <c r="C43" s="2"/>
      <c r="D43" s="2"/>
      <c r="E43" s="2"/>
      <c r="F43" s="2"/>
      <c r="G43" s="2"/>
      <c r="H43" s="2" t="s">
        <v>144</v>
      </c>
      <c r="I43" s="21" t="s">
        <v>189</v>
      </c>
      <c r="J43" s="13">
        <v>-360</v>
      </c>
      <c r="K43" s="8">
        <v>10</v>
      </c>
      <c r="L43" s="26">
        <f>Table1345678101112131415161718192021222324252627[[#This Row],[الدولار]]+(Table1345678101112131415161718192021222324252627[[#This Row],[اللبناني]]/90)</f>
        <v>6</v>
      </c>
      <c r="M43" s="6"/>
    </row>
    <row r="44" spans="3:13" s="8" customFormat="1" x14ac:dyDescent="0.3">
      <c r="C44" s="2"/>
      <c r="D44" s="2"/>
      <c r="E44" s="2"/>
      <c r="F44" s="2"/>
      <c r="G44" s="2"/>
      <c r="H44" s="2" t="s">
        <v>144</v>
      </c>
      <c r="I44" s="21" t="s">
        <v>47</v>
      </c>
      <c r="J44" s="13"/>
      <c r="K44" s="8">
        <v>5</v>
      </c>
      <c r="L44" s="26">
        <f>Table1345678101112131415161718192021222324252627[[#This Row],[الدولار]]+(Table1345678101112131415161718192021222324252627[[#This Row],[اللبناني]]/90)</f>
        <v>5</v>
      </c>
      <c r="M44" s="6"/>
    </row>
    <row r="45" spans="3:13" s="8" customFormat="1" x14ac:dyDescent="0.3">
      <c r="H45" s="2" t="s">
        <v>144</v>
      </c>
      <c r="I45" s="21"/>
      <c r="J45" s="13">
        <v>900</v>
      </c>
      <c r="L45" s="26">
        <f>Table1345678101112131415161718192021222324252627[[#This Row],[الدولار]]+(Table1345678101112131415161718192021222324252627[[#This Row],[اللبناني]]/90)</f>
        <v>10</v>
      </c>
      <c r="M45" s="6"/>
    </row>
    <row r="46" spans="3:13" s="8" customFormat="1" x14ac:dyDescent="0.3">
      <c r="H46" s="2" t="s">
        <v>145</v>
      </c>
      <c r="I46" s="21" t="s">
        <v>190</v>
      </c>
      <c r="J46" s="13"/>
      <c r="K46" s="8">
        <v>-100</v>
      </c>
      <c r="L46" s="26">
        <f>Table1345678101112131415161718192021222324252627[[#This Row],[الدولار]]+(Table1345678101112131415161718192021222324252627[[#This Row],[اللبناني]]/90)</f>
        <v>-100</v>
      </c>
      <c r="M46" s="6"/>
    </row>
    <row r="47" spans="3:13" s="8" customFormat="1" x14ac:dyDescent="0.3">
      <c r="H47" s="2" t="s">
        <v>146</v>
      </c>
      <c r="I47" s="21" t="s">
        <v>13</v>
      </c>
      <c r="J47" s="13"/>
      <c r="K47" s="8">
        <v>100</v>
      </c>
      <c r="L47" s="26">
        <f>Table1345678101112131415161718192021222324252627[[#This Row],[الدولار]]+(Table1345678101112131415161718192021222324252627[[#This Row],[اللبناني]]/90)</f>
        <v>100</v>
      </c>
      <c r="M47" s="6"/>
    </row>
    <row r="48" spans="3:13" s="8" customFormat="1" x14ac:dyDescent="0.3">
      <c r="H48" s="2" t="s">
        <v>144</v>
      </c>
      <c r="I48" s="21" t="s">
        <v>191</v>
      </c>
      <c r="J48" s="13">
        <v>270</v>
      </c>
      <c r="K48" s="8">
        <v>700</v>
      </c>
      <c r="L48" s="26">
        <f>Table1345678101112131415161718192021222324252627[[#This Row],[الدولار]]+(Table1345678101112131415161718192021222324252627[[#This Row],[اللبناني]]/90)</f>
        <v>703</v>
      </c>
      <c r="M48" s="6"/>
    </row>
    <row r="49" spans="8:13" s="8" customFormat="1" x14ac:dyDescent="0.3">
      <c r="H49" s="2" t="s">
        <v>144</v>
      </c>
      <c r="I49" s="21"/>
      <c r="J49" s="13">
        <v>-360</v>
      </c>
      <c r="K49" s="8">
        <v>10</v>
      </c>
      <c r="L49" s="26">
        <f>Table1345678101112131415161718192021222324252627[[#This Row],[الدولار]]+(Table1345678101112131415161718192021222324252627[[#This Row],[اللبناني]]/90)</f>
        <v>6</v>
      </c>
      <c r="M49" s="6"/>
    </row>
    <row r="50" spans="8:13" s="8" customFormat="1" x14ac:dyDescent="0.3">
      <c r="H50" s="2" t="s">
        <v>144</v>
      </c>
      <c r="I50" s="21"/>
      <c r="J50" s="13">
        <v>100</v>
      </c>
      <c r="K50" s="8">
        <v>20</v>
      </c>
      <c r="L50" s="26">
        <f>Table1345678101112131415161718192021222324252627[[#This Row],[الدولار]]+(Table1345678101112131415161718192021222324252627[[#This Row],[اللبناني]]/90)</f>
        <v>21.111111111111111</v>
      </c>
      <c r="M50" s="6"/>
    </row>
    <row r="51" spans="8:13" s="8" customFormat="1" x14ac:dyDescent="0.3">
      <c r="H51" s="2" t="s">
        <v>144</v>
      </c>
      <c r="I51" s="21"/>
      <c r="J51" s="13">
        <v>-300</v>
      </c>
      <c r="K51" s="8">
        <v>10</v>
      </c>
      <c r="L51" s="26">
        <f>Table1345678101112131415161718192021222324252627[[#This Row],[الدولار]]+(Table1345678101112131415161718192021222324252627[[#This Row],[اللبناني]]/90)</f>
        <v>6.6666666666666661</v>
      </c>
      <c r="M51" s="6"/>
    </row>
    <row r="52" spans="8:13" s="8" customFormat="1" x14ac:dyDescent="0.3">
      <c r="H52" s="2" t="s">
        <v>144</v>
      </c>
      <c r="I52" s="21"/>
      <c r="J52" s="13">
        <v>-600</v>
      </c>
      <c r="K52" s="8">
        <v>20</v>
      </c>
      <c r="L52" s="26">
        <f>Table1345678101112131415161718192021222324252627[[#This Row],[الدولار]]+(Table1345678101112131415161718192021222324252627[[#This Row],[اللبناني]]/90)</f>
        <v>13.333333333333332</v>
      </c>
      <c r="M52" s="6"/>
    </row>
    <row r="53" spans="8:13" s="8" customFormat="1" x14ac:dyDescent="0.3">
      <c r="H53" s="2" t="s">
        <v>144</v>
      </c>
      <c r="I53" s="21" t="s">
        <v>192</v>
      </c>
      <c r="J53" s="13"/>
      <c r="K53" s="8">
        <v>45</v>
      </c>
      <c r="L53" s="26">
        <f>Table1345678101112131415161718192021222324252627[[#This Row],[الدولار]]+(Table1345678101112131415161718192021222324252627[[#This Row],[اللبناني]]/90)</f>
        <v>45</v>
      </c>
      <c r="M53" s="6"/>
    </row>
    <row r="54" spans="8:13" s="8" customFormat="1" x14ac:dyDescent="0.3">
      <c r="H54" s="2" t="s">
        <v>144</v>
      </c>
      <c r="I54" s="21" t="s">
        <v>84</v>
      </c>
      <c r="J54" s="13">
        <v>500</v>
      </c>
      <c r="L54" s="26">
        <f>Table1345678101112131415161718192021222324252627[[#This Row],[الدولار]]+(Table1345678101112131415161718192021222324252627[[#This Row],[اللبناني]]/90)</f>
        <v>5.5555555555555554</v>
      </c>
      <c r="M54" s="6"/>
    </row>
    <row r="55" spans="8:13" s="8" customFormat="1" x14ac:dyDescent="0.3">
      <c r="H55" s="2" t="s">
        <v>144</v>
      </c>
      <c r="I55" s="21"/>
      <c r="J55" s="13"/>
      <c r="K55" s="8">
        <v>70</v>
      </c>
      <c r="L55" s="26">
        <f>Table1345678101112131415161718192021222324252627[[#This Row],[الدولار]]+(Table1345678101112131415161718192021222324252627[[#This Row],[اللبناني]]/90)</f>
        <v>70</v>
      </c>
      <c r="M55" s="6"/>
    </row>
    <row r="56" spans="8:13" s="8" customFormat="1" x14ac:dyDescent="0.3">
      <c r="H56" s="2" t="s">
        <v>144</v>
      </c>
      <c r="I56" s="21"/>
      <c r="J56" s="13"/>
      <c r="K56" s="8">
        <v>30</v>
      </c>
      <c r="L56" s="26">
        <f>Table1345678101112131415161718192021222324252627[[#This Row],[الدولار]]+(Table1345678101112131415161718192021222324252627[[#This Row],[اللبناني]]/90)</f>
        <v>30</v>
      </c>
      <c r="M56" s="6"/>
    </row>
    <row r="57" spans="8:13" s="8" customFormat="1" x14ac:dyDescent="0.3">
      <c r="H57" s="2" t="s">
        <v>144</v>
      </c>
      <c r="I57" s="21"/>
      <c r="J57" s="13">
        <v>100</v>
      </c>
      <c r="K57" s="8">
        <v>20</v>
      </c>
      <c r="L57" s="26">
        <f>Table1345678101112131415161718192021222324252627[[#This Row],[الدولار]]+(Table1345678101112131415161718192021222324252627[[#This Row],[اللبناني]]/90)</f>
        <v>21.111111111111111</v>
      </c>
      <c r="M57" s="6"/>
    </row>
    <row r="58" spans="8:13" s="8" customFormat="1" x14ac:dyDescent="0.3">
      <c r="H58" s="2" t="s">
        <v>144</v>
      </c>
      <c r="I58" s="21"/>
      <c r="J58" s="13"/>
      <c r="K58" s="8">
        <v>30</v>
      </c>
      <c r="L58" s="26">
        <f>Table1345678101112131415161718192021222324252627[[#This Row],[الدولار]]+(Table1345678101112131415161718192021222324252627[[#This Row],[اللبناني]]/90)</f>
        <v>30</v>
      </c>
      <c r="M58" s="6"/>
    </row>
    <row r="59" spans="8:13" s="8" customFormat="1" x14ac:dyDescent="0.3">
      <c r="H59" s="2" t="s">
        <v>144</v>
      </c>
      <c r="I59" s="21"/>
      <c r="J59" s="13">
        <v>380</v>
      </c>
      <c r="L59" s="26">
        <f>Table1345678101112131415161718192021222324252627[[#This Row],[الدولار]]+(Table1345678101112131415161718192021222324252627[[#This Row],[اللبناني]]/90)</f>
        <v>4.2222222222222223</v>
      </c>
      <c r="M59" s="6"/>
    </row>
    <row r="60" spans="8:13" s="8" customFormat="1" x14ac:dyDescent="0.3">
      <c r="H60" s="2" t="s">
        <v>144</v>
      </c>
      <c r="I60" s="21"/>
      <c r="J60" s="13">
        <v>160</v>
      </c>
      <c r="K60" s="8">
        <v>1</v>
      </c>
      <c r="L60" s="26">
        <f>Table1345678101112131415161718192021222324252627[[#This Row],[الدولار]]+(Table1345678101112131415161718192021222324252627[[#This Row],[اللبناني]]/90)</f>
        <v>2.7777777777777777</v>
      </c>
      <c r="M60" s="6"/>
    </row>
    <row r="61" spans="8:13" s="8" customFormat="1" x14ac:dyDescent="0.3">
      <c r="H61" s="2" t="s">
        <v>144</v>
      </c>
      <c r="I61" s="21"/>
      <c r="J61" s="13">
        <v>-350</v>
      </c>
      <c r="K61" s="8">
        <v>20</v>
      </c>
      <c r="L61" s="26">
        <f>Table1345678101112131415161718192021222324252627[[#This Row],[الدولار]]+(Table1345678101112131415161718192021222324252627[[#This Row],[اللبناني]]/90)</f>
        <v>16.111111111111111</v>
      </c>
      <c r="M61" s="6"/>
    </row>
    <row r="62" spans="8:13" s="8" customFormat="1" x14ac:dyDescent="0.3">
      <c r="H62" s="2" t="s">
        <v>144</v>
      </c>
      <c r="I62" s="21"/>
      <c r="J62" s="13">
        <v>-100</v>
      </c>
      <c r="K62" s="8">
        <v>89</v>
      </c>
      <c r="L62" s="26">
        <f>Table1345678101112131415161718192021222324252627[[#This Row],[الدولار]]+(Table1345678101112131415161718192021222324252627[[#This Row],[اللبناني]]/90)</f>
        <v>87.888888888888886</v>
      </c>
      <c r="M62" s="6"/>
    </row>
    <row r="63" spans="8:13" s="8" customFormat="1" x14ac:dyDescent="0.3">
      <c r="H63" s="2" t="s">
        <v>144</v>
      </c>
      <c r="I63" s="21"/>
      <c r="J63" s="13">
        <v>-225</v>
      </c>
      <c r="K63" s="8">
        <v>30</v>
      </c>
      <c r="L63" s="26">
        <f>Table1345678101112131415161718192021222324252627[[#This Row],[الدولار]]+(Table1345678101112131415161718192021222324252627[[#This Row],[اللبناني]]/90)</f>
        <v>27.5</v>
      </c>
      <c r="M63" s="6"/>
    </row>
    <row r="64" spans="8:13" s="8" customFormat="1" x14ac:dyDescent="0.3">
      <c r="H64" s="2" t="s">
        <v>144</v>
      </c>
      <c r="I64" s="21"/>
      <c r="J64" s="13">
        <v>-300</v>
      </c>
      <c r="K64" s="8">
        <v>90</v>
      </c>
      <c r="L64" s="26">
        <f>Table1345678101112131415161718192021222324252627[[#This Row],[الدولار]]+(Table1345678101112131415161718192021222324252627[[#This Row],[اللبناني]]/90)</f>
        <v>86.666666666666671</v>
      </c>
      <c r="M64" s="6"/>
    </row>
    <row r="65" spans="8:14" s="8" customFormat="1" x14ac:dyDescent="0.3">
      <c r="H65" s="2" t="s">
        <v>144</v>
      </c>
      <c r="I65" s="21"/>
      <c r="J65" s="13"/>
      <c r="K65" s="8">
        <v>10</v>
      </c>
      <c r="L65" s="26">
        <f>Table1345678101112131415161718192021222324252627[[#This Row],[الدولار]]+(Table1345678101112131415161718192021222324252627[[#This Row],[اللبناني]]/90)</f>
        <v>10</v>
      </c>
      <c r="M65" s="6"/>
    </row>
    <row r="66" spans="8:14" s="8" customFormat="1" x14ac:dyDescent="0.3">
      <c r="H66" s="2" t="s">
        <v>146</v>
      </c>
      <c r="I66" s="21"/>
      <c r="J66" s="13"/>
      <c r="K66" s="8">
        <v>-200</v>
      </c>
      <c r="L66" s="26">
        <f>Table1345678101112131415161718192021222324252627[[#This Row],[الدولار]]+(Table1345678101112131415161718192021222324252627[[#This Row],[اللبناني]]/90)</f>
        <v>-200</v>
      </c>
      <c r="M66" s="6"/>
    </row>
    <row r="67" spans="8:14" s="8" customFormat="1" x14ac:dyDescent="0.3">
      <c r="H67" s="2" t="s">
        <v>144</v>
      </c>
      <c r="I67" s="21" t="s">
        <v>75</v>
      </c>
      <c r="J67" s="13">
        <v>615</v>
      </c>
      <c r="L67" s="26">
        <f>Table1345678101112131415161718192021222324252627[[#This Row],[الدولار]]+(Table1345678101112131415161718192021222324252627[[#This Row],[اللبناني]]/90)</f>
        <v>6.833333333333333</v>
      </c>
      <c r="M67" s="6"/>
    </row>
    <row r="68" spans="8:14" s="8" customFormat="1" x14ac:dyDescent="0.3">
      <c r="H68" s="2" t="s">
        <v>144</v>
      </c>
      <c r="I68" s="21"/>
      <c r="J68" s="13"/>
      <c r="K68" s="8">
        <v>15</v>
      </c>
      <c r="L68" s="26">
        <f>Table1345678101112131415161718192021222324252627[[#This Row],[الدولار]]+(Table1345678101112131415161718192021222324252627[[#This Row],[اللبناني]]/90)</f>
        <v>15</v>
      </c>
      <c r="M68" s="6"/>
    </row>
    <row r="69" spans="8:14" s="8" customFormat="1" x14ac:dyDescent="0.3">
      <c r="H69" s="2" t="s">
        <v>144</v>
      </c>
      <c r="I69" s="21"/>
      <c r="J69" s="13">
        <v>-270</v>
      </c>
      <c r="K69" s="8">
        <v>25</v>
      </c>
      <c r="L69" s="26">
        <f>Table1345678101112131415161718192021222324252627[[#This Row],[الدولار]]+(Table1345678101112131415161718192021222324252627[[#This Row],[اللبناني]]/90)</f>
        <v>22</v>
      </c>
      <c r="M69" s="6"/>
    </row>
    <row r="70" spans="8:14" s="8" customFormat="1" x14ac:dyDescent="0.3">
      <c r="H70" s="2" t="s">
        <v>144</v>
      </c>
      <c r="I70" s="21" t="s">
        <v>62</v>
      </c>
      <c r="J70" s="13"/>
      <c r="K70" s="8">
        <v>10</v>
      </c>
      <c r="L70" s="26">
        <f>Table1345678101112131415161718192021222324252627[[#This Row],[الدولار]]+(Table1345678101112131415161718192021222324252627[[#This Row],[اللبناني]]/90)</f>
        <v>10</v>
      </c>
      <c r="M70" s="6"/>
      <c r="N70" s="8" t="s">
        <v>95</v>
      </c>
    </row>
    <row r="71" spans="8:14" s="8" customFormat="1" x14ac:dyDescent="0.3">
      <c r="H71" s="2" t="s">
        <v>144</v>
      </c>
      <c r="I71" s="21"/>
      <c r="J71" s="13"/>
      <c r="K71" s="8">
        <v>5</v>
      </c>
      <c r="L71" s="26">
        <f>Table1345678101112131415161718192021222324252627[[#This Row],[الدولار]]+(Table1345678101112131415161718192021222324252627[[#This Row],[اللبناني]]/90)</f>
        <v>5</v>
      </c>
      <c r="M71" s="6"/>
    </row>
    <row r="72" spans="8:14" s="8" customFormat="1" x14ac:dyDescent="0.3">
      <c r="H72" s="2" t="s">
        <v>144</v>
      </c>
      <c r="I72" s="21" t="s">
        <v>193</v>
      </c>
      <c r="J72" s="13">
        <v>-700</v>
      </c>
      <c r="K72" s="8">
        <v>20</v>
      </c>
      <c r="L72" s="26">
        <f>Table1345678101112131415161718192021222324252627[[#This Row],[الدولار]]+(Table1345678101112131415161718192021222324252627[[#This Row],[اللبناني]]/90)</f>
        <v>12.222222222222221</v>
      </c>
      <c r="M72" s="6"/>
    </row>
    <row r="73" spans="8:14" s="8" customFormat="1" x14ac:dyDescent="0.3">
      <c r="H73" s="2" t="s">
        <v>144</v>
      </c>
      <c r="I73" s="21"/>
      <c r="J73" s="13"/>
      <c r="K73" s="8">
        <v>60</v>
      </c>
      <c r="L73" s="26">
        <f>Table1345678101112131415161718192021222324252627[[#This Row],[الدولار]]+(Table1345678101112131415161718192021222324252627[[#This Row],[اللبناني]]/90)</f>
        <v>60</v>
      </c>
      <c r="M73" s="6"/>
    </row>
    <row r="74" spans="8:14" s="8" customFormat="1" x14ac:dyDescent="0.3">
      <c r="H74" s="2" t="s">
        <v>144</v>
      </c>
      <c r="I74" s="21"/>
      <c r="J74" s="13">
        <v>200</v>
      </c>
      <c r="L74" s="26">
        <f>Table1345678101112131415161718192021222324252627[[#This Row],[الدولار]]+(Table1345678101112131415161718192021222324252627[[#This Row],[اللبناني]]/90)</f>
        <v>2.2222222222222223</v>
      </c>
      <c r="M74" s="6"/>
    </row>
    <row r="75" spans="8:14" s="8" customFormat="1" x14ac:dyDescent="0.3">
      <c r="H75" s="2" t="s">
        <v>144</v>
      </c>
      <c r="I75" s="21"/>
      <c r="J75" s="13">
        <v>500</v>
      </c>
      <c r="L75" s="26">
        <f>Table1345678101112131415161718192021222324252627[[#This Row],[الدولار]]+(Table1345678101112131415161718192021222324252627[[#This Row],[اللبناني]]/90)</f>
        <v>5.5555555555555554</v>
      </c>
      <c r="M75" s="6"/>
    </row>
    <row r="76" spans="8:14" s="8" customFormat="1" x14ac:dyDescent="0.3">
      <c r="H76" s="2" t="s">
        <v>144</v>
      </c>
      <c r="I76" s="21"/>
      <c r="J76" s="13">
        <v>-600</v>
      </c>
      <c r="K76" s="8">
        <v>20</v>
      </c>
      <c r="L76" s="26">
        <f>Table1345678101112131415161718192021222324252627[[#This Row],[الدولار]]+(Table1345678101112131415161718192021222324252627[[#This Row],[اللبناني]]/90)</f>
        <v>13.333333333333332</v>
      </c>
      <c r="M76" s="6"/>
    </row>
    <row r="77" spans="8:14" s="8" customFormat="1" x14ac:dyDescent="0.3">
      <c r="H77" s="2" t="s">
        <v>144</v>
      </c>
      <c r="I77" s="21" t="s">
        <v>45</v>
      </c>
      <c r="J77" s="13">
        <v>-800</v>
      </c>
      <c r="K77" s="8">
        <v>10</v>
      </c>
      <c r="L77" s="26">
        <f>Table1345678101112131415161718192021222324252627[[#This Row],[الدولار]]+(Table1345678101112131415161718192021222324252627[[#This Row],[اللبناني]]/90)</f>
        <v>1.1111111111111107</v>
      </c>
      <c r="M77" s="6"/>
    </row>
    <row r="78" spans="8:14" s="8" customFormat="1" x14ac:dyDescent="0.3">
      <c r="H78" s="2" t="s">
        <v>144</v>
      </c>
      <c r="I78" s="21" t="s">
        <v>194</v>
      </c>
      <c r="J78" s="13">
        <v>-270</v>
      </c>
      <c r="K78" s="8">
        <v>15</v>
      </c>
      <c r="L78" s="26">
        <f>Table1345678101112131415161718192021222324252627[[#This Row],[الدولار]]+(Table1345678101112131415161718192021222324252627[[#This Row],[اللبناني]]/90)</f>
        <v>12</v>
      </c>
      <c r="M78" s="6"/>
    </row>
    <row r="79" spans="8:14" s="8" customFormat="1" x14ac:dyDescent="0.3">
      <c r="H79" s="2" t="s">
        <v>144</v>
      </c>
      <c r="I79" s="21"/>
      <c r="J79" s="13"/>
      <c r="K79" s="8">
        <v>40</v>
      </c>
      <c r="L79" s="26">
        <f>Table1345678101112131415161718192021222324252627[[#This Row],[الدولار]]+(Table1345678101112131415161718192021222324252627[[#This Row],[اللبناني]]/90)</f>
        <v>40</v>
      </c>
      <c r="M79" s="6"/>
    </row>
    <row r="80" spans="8:14" s="8" customFormat="1" x14ac:dyDescent="0.3">
      <c r="H80" s="2" t="s">
        <v>144</v>
      </c>
      <c r="I80" s="21"/>
      <c r="J80" s="13"/>
      <c r="K80" s="8">
        <v>30</v>
      </c>
      <c r="L80" s="26">
        <f>Table1345678101112131415161718192021222324252627[[#This Row],[الدولار]]+(Table1345678101112131415161718192021222324252627[[#This Row],[اللبناني]]/90)</f>
        <v>30</v>
      </c>
      <c r="M80" s="6"/>
    </row>
    <row r="81" spans="8:13" s="8" customFormat="1" x14ac:dyDescent="0.3">
      <c r="H81" s="2" t="s">
        <v>146</v>
      </c>
      <c r="I81" s="21" t="s">
        <v>13</v>
      </c>
      <c r="J81" s="13"/>
      <c r="K81" s="8">
        <v>20</v>
      </c>
      <c r="L81" s="26">
        <f>Table1345678101112131415161718192021222324252627[[#This Row],[الدولار]]+(Table1345678101112131415161718192021222324252627[[#This Row],[اللبناني]]/90)</f>
        <v>20</v>
      </c>
      <c r="M81" s="6"/>
    </row>
    <row r="82" spans="8:13" s="8" customFormat="1" x14ac:dyDescent="0.3">
      <c r="H82" s="2" t="s">
        <v>145</v>
      </c>
      <c r="I82" s="21" t="s">
        <v>151</v>
      </c>
      <c r="J82" s="13"/>
      <c r="K82" s="8">
        <v>-20</v>
      </c>
      <c r="L82" s="26">
        <f>Table1345678101112131415161718192021222324252627[[#This Row],[الدولار]]+(Table1345678101112131415161718192021222324252627[[#This Row],[اللبناني]]/90)</f>
        <v>-20</v>
      </c>
      <c r="M82" s="6"/>
    </row>
    <row r="83" spans="8:13" s="8" customFormat="1" x14ac:dyDescent="0.3">
      <c r="H83" s="2" t="s">
        <v>144</v>
      </c>
      <c r="I83" s="21" t="s">
        <v>34</v>
      </c>
      <c r="J83" s="13"/>
      <c r="K83" s="8">
        <v>55</v>
      </c>
      <c r="L83" s="26">
        <f>Table1345678101112131415161718192021222324252627[[#This Row],[الدولار]]+(Table1345678101112131415161718192021222324252627[[#This Row],[اللبناني]]/90)</f>
        <v>55</v>
      </c>
      <c r="M83" s="6"/>
    </row>
    <row r="84" spans="8:13" s="8" customFormat="1" x14ac:dyDescent="0.3">
      <c r="H84" s="2" t="s">
        <v>144</v>
      </c>
      <c r="I84" s="21" t="s">
        <v>195</v>
      </c>
      <c r="J84" s="13">
        <v>125</v>
      </c>
      <c r="L84" s="26">
        <f>Table1345678101112131415161718192021222324252627[[#This Row],[الدولار]]+(Table1345678101112131415161718192021222324252627[[#This Row],[اللبناني]]/90)</f>
        <v>1.3888888888888888</v>
      </c>
      <c r="M84" s="6"/>
    </row>
    <row r="85" spans="8:13" s="8" customFormat="1" x14ac:dyDescent="0.3">
      <c r="H85" s="2" t="s">
        <v>144</v>
      </c>
      <c r="I85" s="21" t="s">
        <v>196</v>
      </c>
      <c r="J85" s="13"/>
      <c r="K85" s="8">
        <v>150</v>
      </c>
      <c r="L85" s="26">
        <f>Table1345678101112131415161718192021222324252627[[#This Row],[الدولار]]+(Table1345678101112131415161718192021222324252627[[#This Row],[اللبناني]]/90)</f>
        <v>150</v>
      </c>
      <c r="M85" s="6"/>
    </row>
    <row r="86" spans="8:13" s="8" customFormat="1" x14ac:dyDescent="0.3">
      <c r="H86" s="2" t="s">
        <v>146</v>
      </c>
      <c r="I86" s="21" t="s">
        <v>159</v>
      </c>
      <c r="J86" s="13">
        <v>-100</v>
      </c>
      <c r="L86" s="26">
        <f>Table1345678101112131415161718192021222324252627[[#This Row],[الدولار]]+(Table1345678101112131415161718192021222324252627[[#This Row],[اللبناني]]/90)</f>
        <v>-1.1111111111111112</v>
      </c>
      <c r="M86" s="6"/>
    </row>
    <row r="87" spans="8:13" s="8" customFormat="1" x14ac:dyDescent="0.3">
      <c r="H87" s="2" t="s">
        <v>146</v>
      </c>
      <c r="I87" s="21" t="s">
        <v>159</v>
      </c>
      <c r="J87" s="13"/>
      <c r="K87" s="8">
        <v>-2400</v>
      </c>
      <c r="L87" s="26">
        <f>Table1345678101112131415161718192021222324252627[[#This Row],[الدولار]]+(Table1345678101112131415161718192021222324252627[[#This Row],[اللبناني]]/90)</f>
        <v>-2400</v>
      </c>
      <c r="M87" s="6"/>
    </row>
    <row r="88" spans="8:13" s="8" customFormat="1" x14ac:dyDescent="0.3">
      <c r="H88" s="2" t="s">
        <v>146</v>
      </c>
      <c r="I88" s="21" t="s">
        <v>13</v>
      </c>
      <c r="J88" s="13">
        <v>2000</v>
      </c>
      <c r="L88" s="26">
        <f>Table1345678101112131415161718192021222324252627[[#This Row],[الدولار]]+(Table1345678101112131415161718192021222324252627[[#This Row],[اللبناني]]/90)</f>
        <v>22.222222222222221</v>
      </c>
      <c r="M88" s="6"/>
    </row>
    <row r="89" spans="8:13" s="8" customFormat="1" x14ac:dyDescent="0.3">
      <c r="H89" s="2" t="s">
        <v>144</v>
      </c>
      <c r="I89" s="21" t="s">
        <v>197</v>
      </c>
      <c r="J89" s="13">
        <v>145</v>
      </c>
      <c r="L89" s="26">
        <f>Table1345678101112131415161718192021222324252627[[#This Row],[الدولار]]+(Table1345678101112131415161718192021222324252627[[#This Row],[اللبناني]]/90)</f>
        <v>1.6111111111111112</v>
      </c>
      <c r="M89" s="6"/>
    </row>
    <row r="90" spans="8:13" s="8" customFormat="1" x14ac:dyDescent="0.3">
      <c r="H90" s="2" t="s">
        <v>144</v>
      </c>
      <c r="I90" s="21" t="s">
        <v>45</v>
      </c>
      <c r="J90" s="13">
        <v>200</v>
      </c>
      <c r="L90" s="26">
        <f>Table1345678101112131415161718192021222324252627[[#This Row],[الدولار]]+(Table1345678101112131415161718192021222324252627[[#This Row],[اللبناني]]/90)</f>
        <v>2.2222222222222223</v>
      </c>
      <c r="M90" s="6"/>
    </row>
    <row r="91" spans="8:13" s="8" customFormat="1" x14ac:dyDescent="0.3">
      <c r="H91" s="2" t="s">
        <v>144</v>
      </c>
      <c r="I91" s="21" t="s">
        <v>198</v>
      </c>
      <c r="J91" s="13"/>
      <c r="K91" s="8">
        <v>10</v>
      </c>
      <c r="L91" s="26">
        <f>Table1345678101112131415161718192021222324252627[[#This Row],[الدولار]]+(Table1345678101112131415161718192021222324252627[[#This Row],[اللبناني]]/90)</f>
        <v>10</v>
      </c>
      <c r="M91" s="6"/>
    </row>
    <row r="92" spans="8:13" s="8" customFormat="1" x14ac:dyDescent="0.3">
      <c r="H92" s="2" t="s">
        <v>144</v>
      </c>
      <c r="I92" s="21" t="s">
        <v>29</v>
      </c>
      <c r="J92" s="13"/>
      <c r="K92" s="8">
        <v>40</v>
      </c>
      <c r="L92" s="26">
        <f>Table1345678101112131415161718192021222324252627[[#This Row],[الدولار]]+(Table1345678101112131415161718192021222324252627[[#This Row],[اللبناني]]/90)</f>
        <v>40</v>
      </c>
      <c r="M92" s="6"/>
    </row>
    <row r="93" spans="8:13" s="8" customFormat="1" x14ac:dyDescent="0.3">
      <c r="H93" s="2" t="s">
        <v>144</v>
      </c>
      <c r="I93" s="21" t="s">
        <v>195</v>
      </c>
      <c r="J93" s="13">
        <v>-700</v>
      </c>
      <c r="K93" s="8">
        <v>10</v>
      </c>
      <c r="L93" s="26">
        <f>Table1345678101112131415161718192021222324252627[[#This Row],[الدولار]]+(Table1345678101112131415161718192021222324252627[[#This Row],[اللبناني]]/90)</f>
        <v>2.2222222222222223</v>
      </c>
      <c r="M93" s="6"/>
    </row>
    <row r="94" spans="8:13" s="8" customFormat="1" x14ac:dyDescent="0.3">
      <c r="H94" s="2" t="s">
        <v>144</v>
      </c>
      <c r="I94" s="21"/>
      <c r="J94" s="13">
        <v>300</v>
      </c>
      <c r="L94" s="26">
        <f>Table1345678101112131415161718192021222324252627[[#This Row],[الدولار]]+(Table1345678101112131415161718192021222324252627[[#This Row],[اللبناني]]/90)</f>
        <v>3.3333333333333335</v>
      </c>
      <c r="M94" s="6"/>
    </row>
    <row r="95" spans="8:13" s="8" customFormat="1" x14ac:dyDescent="0.3">
      <c r="H95" s="2" t="s">
        <v>144</v>
      </c>
      <c r="I95" s="21"/>
      <c r="J95" s="13">
        <v>-400</v>
      </c>
      <c r="K95" s="8">
        <v>10</v>
      </c>
      <c r="L95" s="26">
        <f>Table1345678101112131415161718192021222324252627[[#This Row],[الدولار]]+(Table1345678101112131415161718192021222324252627[[#This Row],[اللبناني]]/90)</f>
        <v>5.5555555555555554</v>
      </c>
      <c r="M95" s="6"/>
    </row>
    <row r="96" spans="8:13" s="8" customFormat="1" x14ac:dyDescent="0.3">
      <c r="H96" s="2" t="s">
        <v>144</v>
      </c>
      <c r="I96" s="21"/>
      <c r="J96" s="13">
        <v>-150</v>
      </c>
      <c r="K96" s="8">
        <v>10</v>
      </c>
      <c r="L96" s="26">
        <f>Table1345678101112131415161718192021222324252627[[#This Row],[الدولار]]+(Table1345678101112131415161718192021222324252627[[#This Row],[اللبناني]]/90)</f>
        <v>8.3333333333333339</v>
      </c>
      <c r="M96" s="6"/>
    </row>
    <row r="97" spans="8:13" s="8" customFormat="1" x14ac:dyDescent="0.3">
      <c r="H97" s="2" t="s">
        <v>144</v>
      </c>
      <c r="I97" s="21"/>
      <c r="J97" s="13"/>
      <c r="K97" s="8">
        <v>20</v>
      </c>
      <c r="L97" s="26">
        <f>Table1345678101112131415161718192021222324252627[[#This Row],[الدولار]]+(Table1345678101112131415161718192021222324252627[[#This Row],[اللبناني]]/90)</f>
        <v>20</v>
      </c>
      <c r="M97" s="6"/>
    </row>
    <row r="98" spans="8:13" s="8" customFormat="1" x14ac:dyDescent="0.3">
      <c r="H98" s="2" t="s">
        <v>144</v>
      </c>
      <c r="I98" s="21"/>
      <c r="J98" s="13"/>
      <c r="K98" s="8">
        <v>10</v>
      </c>
      <c r="L98" s="26">
        <f>Table1345678101112131415161718192021222324252627[[#This Row],[الدولار]]+(Table1345678101112131415161718192021222324252627[[#This Row],[اللبناني]]/90)</f>
        <v>10</v>
      </c>
      <c r="M98" s="6"/>
    </row>
    <row r="99" spans="8:13" s="8" customFormat="1" x14ac:dyDescent="0.3">
      <c r="H99" s="2" t="s">
        <v>144</v>
      </c>
      <c r="I99" s="21"/>
      <c r="J99" s="13"/>
      <c r="K99" s="8">
        <v>130</v>
      </c>
      <c r="L99" s="26">
        <f>Table1345678101112131415161718192021222324252627[[#This Row],[الدولار]]+(Table1345678101112131415161718192021222324252627[[#This Row],[اللبناني]]/90)</f>
        <v>130</v>
      </c>
      <c r="M99" s="6"/>
    </row>
    <row r="100" spans="8:13" s="8" customFormat="1" x14ac:dyDescent="0.3">
      <c r="H100" s="2" t="s">
        <v>144</v>
      </c>
      <c r="I100" s="21"/>
      <c r="J100" s="13">
        <v>-450</v>
      </c>
      <c r="K100" s="8">
        <v>80</v>
      </c>
      <c r="L100" s="26">
        <f>Table1345678101112131415161718192021222324252627[[#This Row],[الدولار]]+(Table1345678101112131415161718192021222324252627[[#This Row],[اللبناني]]/90)</f>
        <v>75</v>
      </c>
      <c r="M100" s="6"/>
    </row>
    <row r="101" spans="8:13" s="8" customFormat="1" x14ac:dyDescent="0.3">
      <c r="H101" s="2" t="s">
        <v>144</v>
      </c>
      <c r="I101" s="21"/>
      <c r="J101" s="13">
        <v>-450</v>
      </c>
      <c r="K101" s="8">
        <v>20</v>
      </c>
      <c r="L101" s="26">
        <f>Table1345678101112131415161718192021222324252627[[#This Row],[الدولار]]+(Table1345678101112131415161718192021222324252627[[#This Row],[اللبناني]]/90)</f>
        <v>15</v>
      </c>
      <c r="M101" s="6"/>
    </row>
    <row r="102" spans="8:13" s="8" customFormat="1" x14ac:dyDescent="0.3">
      <c r="H102" s="2" t="s">
        <v>144</v>
      </c>
      <c r="I102" s="21"/>
      <c r="J102" s="13">
        <v>100</v>
      </c>
      <c r="L102" s="26">
        <f>Table1345678101112131415161718192021222324252627[[#This Row],[الدولار]]+(Table1345678101112131415161718192021222324252627[[#This Row],[اللبناني]]/90)</f>
        <v>1.1111111111111112</v>
      </c>
      <c r="M102" s="6"/>
    </row>
    <row r="103" spans="8:13" s="8" customFormat="1" x14ac:dyDescent="0.3">
      <c r="H103" s="2" t="s">
        <v>144</v>
      </c>
      <c r="I103" s="21"/>
      <c r="J103" s="13">
        <v>500</v>
      </c>
      <c r="L103" s="26">
        <f>Table1345678101112131415161718192021222324252627[[#This Row],[الدولار]]+(Table1345678101112131415161718192021222324252627[[#This Row],[اللبناني]]/90)</f>
        <v>5.5555555555555554</v>
      </c>
      <c r="M103" s="6"/>
    </row>
    <row r="104" spans="8:13" s="8" customFormat="1" x14ac:dyDescent="0.3">
      <c r="H104" s="2" t="s">
        <v>144</v>
      </c>
      <c r="I104" s="21"/>
      <c r="J104" s="13"/>
      <c r="K104" s="8">
        <v>50</v>
      </c>
      <c r="L104" s="26">
        <f>Table1345678101112131415161718192021222324252627[[#This Row],[الدولار]]+(Table1345678101112131415161718192021222324252627[[#This Row],[اللبناني]]/90)</f>
        <v>50</v>
      </c>
      <c r="M104" s="6"/>
    </row>
    <row r="105" spans="8:13" s="8" customFormat="1" x14ac:dyDescent="0.3">
      <c r="H105" s="2" t="s">
        <v>144</v>
      </c>
      <c r="I105" s="21"/>
      <c r="J105" s="13"/>
      <c r="K105" s="8">
        <v>80</v>
      </c>
      <c r="L105" s="26">
        <f>Table1345678101112131415161718192021222324252627[[#This Row],[الدولار]]+(Table1345678101112131415161718192021222324252627[[#This Row],[اللبناني]]/90)</f>
        <v>80</v>
      </c>
      <c r="M105" s="6"/>
    </row>
    <row r="106" spans="8:13" s="8" customFormat="1" x14ac:dyDescent="0.3">
      <c r="H106" s="2" t="s">
        <v>144</v>
      </c>
      <c r="I106" s="21"/>
      <c r="J106" s="13">
        <v>500</v>
      </c>
      <c r="L106" s="26">
        <f>Table1345678101112131415161718192021222324252627[[#This Row],[الدولار]]+(Table1345678101112131415161718192021222324252627[[#This Row],[اللبناني]]/90)</f>
        <v>5.5555555555555554</v>
      </c>
      <c r="M106" s="6"/>
    </row>
    <row r="107" spans="8:13" s="8" customFormat="1" x14ac:dyDescent="0.3">
      <c r="H107" s="2" t="s">
        <v>144</v>
      </c>
      <c r="I107" s="21" t="s">
        <v>138</v>
      </c>
      <c r="J107" s="13">
        <v>60</v>
      </c>
      <c r="L107" s="26">
        <f>Table1345678101112131415161718192021222324252627[[#This Row],[الدولار]]+(Table1345678101112131415161718192021222324252627[[#This Row],[اللبناني]]/90)</f>
        <v>0.66666666666666663</v>
      </c>
      <c r="M107" s="6"/>
    </row>
    <row r="108" spans="8:13" s="8" customFormat="1" x14ac:dyDescent="0.3">
      <c r="H108" s="2" t="s">
        <v>144</v>
      </c>
      <c r="I108" s="21" t="s">
        <v>199</v>
      </c>
      <c r="J108" s="13">
        <v>45</v>
      </c>
      <c r="L108" s="26">
        <f>Table1345678101112131415161718192021222324252627[[#This Row],[الدولار]]+(Table1345678101112131415161718192021222324252627[[#This Row],[اللبناني]]/90)</f>
        <v>0.5</v>
      </c>
      <c r="M108" s="6"/>
    </row>
    <row r="109" spans="8:13" s="8" customFormat="1" x14ac:dyDescent="0.3">
      <c r="H109" s="2" t="s">
        <v>144</v>
      </c>
      <c r="I109" s="21"/>
      <c r="J109" s="13">
        <v>250</v>
      </c>
      <c r="L109" s="26">
        <f>Table1345678101112131415161718192021222324252627[[#This Row],[الدولار]]+(Table1345678101112131415161718192021222324252627[[#This Row],[اللبناني]]/90)</f>
        <v>2.7777777777777777</v>
      </c>
      <c r="M109" s="6"/>
    </row>
    <row r="110" spans="8:13" s="8" customFormat="1" x14ac:dyDescent="0.3">
      <c r="H110" s="2" t="s">
        <v>144</v>
      </c>
      <c r="I110" s="21"/>
      <c r="J110" s="13"/>
      <c r="K110" s="8">
        <v>60</v>
      </c>
      <c r="L110" s="26">
        <f>Table1345678101112131415161718192021222324252627[[#This Row],[الدولار]]+(Table1345678101112131415161718192021222324252627[[#This Row],[اللبناني]]/90)</f>
        <v>60</v>
      </c>
      <c r="M110" s="6"/>
    </row>
    <row r="111" spans="8:13" s="8" customFormat="1" x14ac:dyDescent="0.3">
      <c r="H111" s="2" t="s">
        <v>144</v>
      </c>
      <c r="I111" s="21"/>
      <c r="J111" s="13">
        <v>-300</v>
      </c>
      <c r="K111" s="8">
        <v>5</v>
      </c>
      <c r="L111" s="26">
        <f>Table1345678101112131415161718192021222324252627[[#This Row],[الدولار]]+(Table1345678101112131415161718192021222324252627[[#This Row],[اللبناني]]/90)</f>
        <v>1.6666666666666665</v>
      </c>
      <c r="M111" s="6"/>
    </row>
    <row r="112" spans="8:13" s="8" customFormat="1" x14ac:dyDescent="0.3">
      <c r="H112" s="2" t="s">
        <v>144</v>
      </c>
      <c r="I112" s="21"/>
      <c r="J112" s="13">
        <v>-100</v>
      </c>
      <c r="K112" s="8">
        <v>25</v>
      </c>
      <c r="L112" s="26">
        <f>Table1345678101112131415161718192021222324252627[[#This Row],[الدولار]]+(Table1345678101112131415161718192021222324252627[[#This Row],[اللبناني]]/90)</f>
        <v>23.888888888888889</v>
      </c>
      <c r="M112" s="6"/>
    </row>
    <row r="113" spans="8:13" s="8" customFormat="1" x14ac:dyDescent="0.3">
      <c r="H113" s="2" t="s">
        <v>144</v>
      </c>
      <c r="I113" s="21"/>
      <c r="J113" s="13"/>
      <c r="K113" s="8">
        <v>55</v>
      </c>
      <c r="L113" s="26">
        <f>Table1345678101112131415161718192021222324252627[[#This Row],[الدولار]]+(Table1345678101112131415161718192021222324252627[[#This Row],[اللبناني]]/90)</f>
        <v>55</v>
      </c>
      <c r="M113" s="6"/>
    </row>
    <row r="114" spans="8:13" s="8" customFormat="1" x14ac:dyDescent="0.3">
      <c r="H114" s="2" t="s">
        <v>144</v>
      </c>
      <c r="I114" s="21"/>
      <c r="J114" s="13">
        <v>-400</v>
      </c>
      <c r="K114" s="8">
        <v>10</v>
      </c>
      <c r="L114" s="26">
        <f>Table1345678101112131415161718192021222324252627[[#This Row],[الدولار]]+(Table1345678101112131415161718192021222324252627[[#This Row],[اللبناني]]/90)</f>
        <v>5.5555555555555554</v>
      </c>
      <c r="M114" s="6"/>
    </row>
    <row r="115" spans="8:13" s="8" customFormat="1" x14ac:dyDescent="0.3">
      <c r="H115" s="2" t="s">
        <v>144</v>
      </c>
      <c r="I115" s="21" t="s">
        <v>200</v>
      </c>
      <c r="J115" s="13"/>
      <c r="K115" s="8">
        <v>20</v>
      </c>
      <c r="L115" s="26">
        <f>Table1345678101112131415161718192021222324252627[[#This Row],[الدولار]]+(Table1345678101112131415161718192021222324252627[[#This Row],[اللبناني]]/90)</f>
        <v>20</v>
      </c>
      <c r="M115" s="6"/>
    </row>
    <row r="116" spans="8:13" s="8" customFormat="1" x14ac:dyDescent="0.3">
      <c r="H116" s="2" t="s">
        <v>144</v>
      </c>
      <c r="I116" s="21" t="s">
        <v>14</v>
      </c>
      <c r="J116" s="13"/>
      <c r="K116" s="8">
        <v>40</v>
      </c>
      <c r="L116" s="26">
        <f>Table1345678101112131415161718192021222324252627[[#This Row],[الدولار]]+(Table1345678101112131415161718192021222324252627[[#This Row],[اللبناني]]/90)</f>
        <v>40</v>
      </c>
      <c r="M116" s="6"/>
    </row>
    <row r="117" spans="8:13" s="8" customFormat="1" x14ac:dyDescent="0.3">
      <c r="H117" s="2" t="s">
        <v>144</v>
      </c>
      <c r="I117" s="21"/>
      <c r="J117" s="13">
        <v>300</v>
      </c>
      <c r="L117" s="26">
        <f>Table1345678101112131415161718192021222324252627[[#This Row],[الدولار]]+(Table1345678101112131415161718192021222324252627[[#This Row],[اللبناني]]/90)</f>
        <v>3.3333333333333335</v>
      </c>
      <c r="M117" s="6"/>
    </row>
    <row r="118" spans="8:13" s="8" customFormat="1" x14ac:dyDescent="0.3">
      <c r="H118" s="2" t="s">
        <v>144</v>
      </c>
      <c r="I118" s="21"/>
      <c r="J118" s="13"/>
      <c r="K118" s="8">
        <v>15</v>
      </c>
      <c r="L118" s="26">
        <f>Table1345678101112131415161718192021222324252627[[#This Row],[الدولار]]+(Table1345678101112131415161718192021222324252627[[#This Row],[اللبناني]]/90)</f>
        <v>15</v>
      </c>
      <c r="M118" s="6"/>
    </row>
    <row r="119" spans="8:13" s="8" customFormat="1" x14ac:dyDescent="0.3">
      <c r="H119" s="2" t="s">
        <v>144</v>
      </c>
      <c r="I119" s="21"/>
      <c r="J119" s="13">
        <v>100</v>
      </c>
      <c r="L119" s="26">
        <f>Table1345678101112131415161718192021222324252627[[#This Row],[الدولار]]+(Table1345678101112131415161718192021222324252627[[#This Row],[اللبناني]]/90)</f>
        <v>1.1111111111111112</v>
      </c>
      <c r="M119" s="6"/>
    </row>
    <row r="120" spans="8:13" s="8" customFormat="1" x14ac:dyDescent="0.3">
      <c r="H120" s="2" t="s">
        <v>144</v>
      </c>
      <c r="I120" s="21"/>
      <c r="J120" s="13">
        <v>250</v>
      </c>
      <c r="L120" s="26">
        <f>Table1345678101112131415161718192021222324252627[[#This Row],[الدولار]]+(Table1345678101112131415161718192021222324252627[[#This Row],[اللبناني]]/90)</f>
        <v>2.7777777777777777</v>
      </c>
      <c r="M120" s="6"/>
    </row>
    <row r="121" spans="8:13" s="8" customFormat="1" x14ac:dyDescent="0.3">
      <c r="H121" s="2" t="s">
        <v>144</v>
      </c>
      <c r="I121" s="21"/>
      <c r="J121" s="13">
        <v>225</v>
      </c>
      <c r="L121" s="26">
        <f>Table1345678101112131415161718192021222324252627[[#This Row],[الدولار]]+(Table1345678101112131415161718192021222324252627[[#This Row],[اللبناني]]/90)</f>
        <v>2.5</v>
      </c>
      <c r="M121" s="6"/>
    </row>
    <row r="122" spans="8:13" s="8" customFormat="1" x14ac:dyDescent="0.3">
      <c r="H122" s="2" t="s">
        <v>144</v>
      </c>
      <c r="I122" s="21"/>
      <c r="J122" s="13">
        <v>-100</v>
      </c>
      <c r="K122" s="8">
        <v>5</v>
      </c>
      <c r="L122" s="26">
        <f>Table1345678101112131415161718192021222324252627[[#This Row],[الدولار]]+(Table1345678101112131415161718192021222324252627[[#This Row],[اللبناني]]/90)</f>
        <v>3.8888888888888888</v>
      </c>
      <c r="M122" s="6"/>
    </row>
    <row r="123" spans="8:13" s="8" customFormat="1" x14ac:dyDescent="0.3">
      <c r="H123" s="2" t="s">
        <v>144</v>
      </c>
      <c r="I123" s="21"/>
      <c r="J123" s="13">
        <v>-300</v>
      </c>
      <c r="K123" s="8">
        <v>10</v>
      </c>
      <c r="L123" s="26">
        <f>Table1345678101112131415161718192021222324252627[[#This Row],[الدولار]]+(Table1345678101112131415161718192021222324252627[[#This Row],[اللبناني]]/90)</f>
        <v>6.6666666666666661</v>
      </c>
      <c r="M123" s="6"/>
    </row>
    <row r="124" spans="8:13" s="8" customFormat="1" x14ac:dyDescent="0.3">
      <c r="H124" s="2" t="s">
        <v>144</v>
      </c>
      <c r="I124" s="21"/>
      <c r="J124" s="13">
        <v>-350</v>
      </c>
      <c r="K124" s="8">
        <v>10</v>
      </c>
      <c r="L124" s="26">
        <f>Table1345678101112131415161718192021222324252627[[#This Row],[الدولار]]+(Table1345678101112131415161718192021222324252627[[#This Row],[اللبناني]]/90)</f>
        <v>6.1111111111111107</v>
      </c>
      <c r="M124" s="6"/>
    </row>
    <row r="125" spans="8:13" s="8" customFormat="1" x14ac:dyDescent="0.3">
      <c r="H125" s="2" t="s">
        <v>144</v>
      </c>
      <c r="I125" s="21"/>
      <c r="J125" s="13"/>
      <c r="K125" s="8">
        <v>5</v>
      </c>
      <c r="L125" s="26">
        <f>Table1345678101112131415161718192021222324252627[[#This Row],[الدولار]]+(Table1345678101112131415161718192021222324252627[[#This Row],[اللبناني]]/90)</f>
        <v>5</v>
      </c>
      <c r="M125" s="6"/>
    </row>
    <row r="126" spans="8:13" s="8" customFormat="1" x14ac:dyDescent="0.3">
      <c r="H126" s="2" t="s">
        <v>144</v>
      </c>
      <c r="I126" s="21"/>
      <c r="J126" s="13">
        <v>-140</v>
      </c>
      <c r="L126" s="26">
        <f>Table1345678101112131415161718192021222324252627[[#This Row],[الدولار]]+(Table1345678101112131415161718192021222324252627[[#This Row],[اللبناني]]/90)</f>
        <v>-1.5555555555555556</v>
      </c>
      <c r="M126" s="6"/>
    </row>
    <row r="127" spans="8:13" s="8" customFormat="1" x14ac:dyDescent="0.3">
      <c r="H127" s="2" t="s">
        <v>144</v>
      </c>
      <c r="I127" s="21"/>
      <c r="J127" s="13">
        <v>450</v>
      </c>
      <c r="L127" s="26">
        <f>Table1345678101112131415161718192021222324252627[[#This Row],[الدولار]]+(Table1345678101112131415161718192021222324252627[[#This Row],[اللبناني]]/90)</f>
        <v>5</v>
      </c>
      <c r="M127" s="6"/>
    </row>
    <row r="128" spans="8:13" s="8" customFormat="1" x14ac:dyDescent="0.3">
      <c r="H128" s="2" t="s">
        <v>144</v>
      </c>
      <c r="I128" s="21"/>
      <c r="J128" s="13"/>
      <c r="K128" s="8">
        <v>1350</v>
      </c>
      <c r="L128" s="26">
        <f>Table1345678101112131415161718192021222324252627[[#This Row],[الدولار]]+(Table1345678101112131415161718192021222324252627[[#This Row],[اللبناني]]/90)</f>
        <v>1350</v>
      </c>
      <c r="M128" s="6"/>
    </row>
    <row r="129" spans="8:13" s="8" customFormat="1" x14ac:dyDescent="0.3">
      <c r="H129" s="2" t="s">
        <v>146</v>
      </c>
      <c r="I129" s="21"/>
      <c r="J129" s="13"/>
      <c r="K129" s="8">
        <v>-1350</v>
      </c>
      <c r="L129" s="26">
        <f>Table1345678101112131415161718192021222324252627[[#This Row],[الدولار]]+(Table1345678101112131415161718192021222324252627[[#This Row],[اللبناني]]/90)</f>
        <v>-1350</v>
      </c>
      <c r="M129" s="6"/>
    </row>
    <row r="130" spans="8:13" s="8" customFormat="1" x14ac:dyDescent="0.3">
      <c r="H130" s="2" t="s">
        <v>146</v>
      </c>
      <c r="I130" s="21"/>
      <c r="J130" s="13"/>
      <c r="K130" s="8">
        <v>-20</v>
      </c>
      <c r="L130" s="26">
        <f>Table1345678101112131415161718192021222324252627[[#This Row],[الدولار]]+(Table1345678101112131415161718192021222324252627[[#This Row],[اللبناني]]/90)</f>
        <v>-20</v>
      </c>
      <c r="M130" s="6"/>
    </row>
    <row r="131" spans="8:13" s="8" customFormat="1" x14ac:dyDescent="0.3">
      <c r="H131" s="2" t="s">
        <v>144</v>
      </c>
      <c r="I131" s="21"/>
      <c r="J131" s="13"/>
      <c r="K131" s="8">
        <v>250</v>
      </c>
      <c r="L131" s="26">
        <f>Table1345678101112131415161718192021222324252627[[#This Row],[الدولار]]+(Table1345678101112131415161718192021222324252627[[#This Row],[اللبناني]]/90)</f>
        <v>250</v>
      </c>
      <c r="M131" s="6"/>
    </row>
    <row r="132" spans="8:13" s="8" customFormat="1" x14ac:dyDescent="0.3">
      <c r="H132" s="2" t="s">
        <v>144</v>
      </c>
      <c r="I132" s="21"/>
      <c r="J132" s="13"/>
      <c r="K132" s="8">
        <v>40</v>
      </c>
      <c r="L132" s="26">
        <f>Table1345678101112131415161718192021222324252627[[#This Row],[الدولار]]+(Table1345678101112131415161718192021222324252627[[#This Row],[اللبناني]]/90)</f>
        <v>40</v>
      </c>
      <c r="M132" s="6"/>
    </row>
    <row r="133" spans="8:13" s="8" customFormat="1" x14ac:dyDescent="0.3">
      <c r="H133" s="2" t="s">
        <v>146</v>
      </c>
      <c r="I133" s="21"/>
      <c r="J133" s="13"/>
      <c r="K133" s="8">
        <v>-290</v>
      </c>
      <c r="L133" s="26">
        <f>Table1345678101112131415161718192021222324252627[[#This Row],[الدولار]]+(Table1345678101112131415161718192021222324252627[[#This Row],[اللبناني]]/90)</f>
        <v>-290</v>
      </c>
      <c r="M133" s="6"/>
    </row>
    <row r="134" spans="8:13" s="8" customFormat="1" x14ac:dyDescent="0.3">
      <c r="H134" s="2" t="s">
        <v>146</v>
      </c>
      <c r="I134" s="21"/>
      <c r="J134" s="13"/>
      <c r="K134" s="8">
        <v>1500</v>
      </c>
      <c r="L134" s="26">
        <f>Table1345678101112131415161718192021222324252627[[#This Row],[الدولار]]+(Table1345678101112131415161718192021222324252627[[#This Row],[اللبناني]]/90)</f>
        <v>1500</v>
      </c>
      <c r="M134" s="6"/>
    </row>
    <row r="135" spans="8:13" s="8" customFormat="1" x14ac:dyDescent="0.3">
      <c r="H135" s="2" t="s">
        <v>145</v>
      </c>
      <c r="I135" s="21" t="s">
        <v>227</v>
      </c>
      <c r="J135" s="13"/>
      <c r="K135" s="8">
        <v>-1500</v>
      </c>
      <c r="L135" s="26">
        <f>Table1345678101112131415161718192021222324252627[[#This Row],[الدولار]]+(Table1345678101112131415161718192021222324252627[[#This Row],[اللبناني]]/90)</f>
        <v>-1500</v>
      </c>
      <c r="M135" s="6"/>
    </row>
    <row r="136" spans="8:13" s="8" customFormat="1" x14ac:dyDescent="0.3">
      <c r="H136" s="2" t="s">
        <v>144</v>
      </c>
      <c r="I136" s="21"/>
      <c r="J136" s="13"/>
      <c r="L136" s="26">
        <f>Table1345678101112131415161718192021222324252627[[#This Row],[الدولار]]+(Table1345678101112131415161718192021222324252627[[#This Row],[اللبناني]]/90)</f>
        <v>0</v>
      </c>
      <c r="M136" s="6"/>
    </row>
    <row r="137" spans="8:13" s="8" customFormat="1" x14ac:dyDescent="0.3">
      <c r="H137" s="2" t="s">
        <v>144</v>
      </c>
      <c r="I137" s="21"/>
      <c r="J137" s="13"/>
      <c r="L137" s="26">
        <f>Table1345678101112131415161718192021222324252627[[#This Row],[الدولار]]+(Table1345678101112131415161718192021222324252627[[#This Row],[اللبناني]]/90)</f>
        <v>0</v>
      </c>
      <c r="M137" s="6"/>
    </row>
    <row r="138" spans="8:13" s="8" customFormat="1" x14ac:dyDescent="0.3">
      <c r="H138" s="2" t="s">
        <v>144</v>
      </c>
      <c r="I138" s="21"/>
      <c r="J138" s="13"/>
      <c r="L138" s="26">
        <f>Table1345678101112131415161718192021222324252627[[#This Row],[الدولار]]+(Table1345678101112131415161718192021222324252627[[#This Row],[اللبناني]]/90)</f>
        <v>0</v>
      </c>
      <c r="M138" s="6"/>
    </row>
    <row r="139" spans="8:13" s="8" customFormat="1" x14ac:dyDescent="0.3">
      <c r="H139" s="2" t="s">
        <v>144</v>
      </c>
      <c r="I139" s="21"/>
      <c r="J139" s="13"/>
      <c r="L139" s="26">
        <f>Table1345678101112131415161718192021222324252627[[#This Row],[الدولار]]+(Table1345678101112131415161718192021222324252627[[#This Row],[اللبناني]]/90)</f>
        <v>0</v>
      </c>
      <c r="M139" s="6"/>
    </row>
    <row r="140" spans="8:13" s="8" customFormat="1" x14ac:dyDescent="0.3">
      <c r="H140" s="2" t="s">
        <v>144</v>
      </c>
      <c r="I140" s="21"/>
      <c r="J140" s="13"/>
      <c r="L140" s="26">
        <f>Table1345678101112131415161718192021222324252627[[#This Row],[الدولار]]+(Table1345678101112131415161718192021222324252627[[#This Row],[اللبناني]]/90)</f>
        <v>0</v>
      </c>
      <c r="M140" s="6"/>
    </row>
    <row r="141" spans="8:13" s="8" customFormat="1" x14ac:dyDescent="0.3">
      <c r="H141" s="2" t="s">
        <v>144</v>
      </c>
      <c r="I141" s="21"/>
      <c r="J141" s="13"/>
      <c r="L141" s="26">
        <f>Table1345678101112131415161718192021222324252627[[#This Row],[الدولار]]+(Table1345678101112131415161718192021222324252627[[#This Row],[اللبناني]]/90)</f>
        <v>0</v>
      </c>
      <c r="M141" s="6"/>
    </row>
    <row r="142" spans="8:13" s="8" customFormat="1" x14ac:dyDescent="0.3">
      <c r="H142" s="2" t="s">
        <v>144</v>
      </c>
      <c r="I142" s="21"/>
      <c r="J142" s="13"/>
      <c r="L142" s="26">
        <f>Table1345678101112131415161718192021222324252627[[#This Row],[الدولار]]+(Table1345678101112131415161718192021222324252627[[#This Row],[اللبناني]]/90)</f>
        <v>0</v>
      </c>
      <c r="M142" s="6"/>
    </row>
    <row r="143" spans="8:13" s="8" customFormat="1" x14ac:dyDescent="0.3">
      <c r="H143" s="2" t="s">
        <v>144</v>
      </c>
      <c r="I143" s="21"/>
      <c r="J143" s="13"/>
      <c r="L143" s="26">
        <f>Table1345678101112131415161718192021222324252627[[#This Row],[الدولار]]+(Table1345678101112131415161718192021222324252627[[#This Row],[اللبناني]]/90)</f>
        <v>0</v>
      </c>
      <c r="M143" s="6"/>
    </row>
    <row r="144" spans="8:13" s="8" customFormat="1" x14ac:dyDescent="0.3">
      <c r="H144" s="2" t="s">
        <v>144</v>
      </c>
      <c r="I144" s="21"/>
      <c r="J144" s="13"/>
      <c r="L144" s="26">
        <f>Table1345678101112131415161718192021222324252627[[#This Row],[الدولار]]+(Table1345678101112131415161718192021222324252627[[#This Row],[اللبناني]]/90)</f>
        <v>0</v>
      </c>
      <c r="M144" s="6"/>
    </row>
    <row r="145" spans="8:13" s="8" customFormat="1" x14ac:dyDescent="0.3">
      <c r="H145" s="2" t="s">
        <v>144</v>
      </c>
      <c r="I145" s="21"/>
      <c r="J145" s="13"/>
      <c r="L145" s="26">
        <f>Table1345678101112131415161718192021222324252627[[#This Row],[الدولار]]+(Table1345678101112131415161718192021222324252627[[#This Row],[اللبناني]]/90)</f>
        <v>0</v>
      </c>
      <c r="M145" s="6"/>
    </row>
    <row r="146" spans="8:13" s="8" customFormat="1" x14ac:dyDescent="0.3">
      <c r="H146" s="2" t="s">
        <v>144</v>
      </c>
      <c r="I146" s="21"/>
      <c r="J146" s="13"/>
      <c r="L146" s="26">
        <f>Table1345678101112131415161718192021222324252627[[#This Row],[الدولار]]+(Table1345678101112131415161718192021222324252627[[#This Row],[اللبناني]]/90)</f>
        <v>0</v>
      </c>
      <c r="M146" s="6"/>
    </row>
    <row r="147" spans="8:13" s="8" customFormat="1" x14ac:dyDescent="0.3">
      <c r="H147" s="2" t="s">
        <v>144</v>
      </c>
      <c r="I147" s="21"/>
      <c r="J147" s="13"/>
      <c r="L147" s="26">
        <f>Table1345678101112131415161718192021222324252627[[#This Row],[الدولار]]+(Table1345678101112131415161718192021222324252627[[#This Row],[اللبناني]]/90)</f>
        <v>0</v>
      </c>
      <c r="M147" s="6"/>
    </row>
    <row r="148" spans="8:13" s="8" customFormat="1" x14ac:dyDescent="0.3">
      <c r="H148" s="2" t="s">
        <v>144</v>
      </c>
      <c r="I148" s="21"/>
      <c r="J148" s="13"/>
      <c r="L148" s="26">
        <f>Table1345678101112131415161718192021222324252627[[#This Row],[الدولار]]+(Table1345678101112131415161718192021222324252627[[#This Row],[اللبناني]]/90)</f>
        <v>0</v>
      </c>
      <c r="M148" s="6"/>
    </row>
    <row r="149" spans="8:13" s="8" customFormat="1" x14ac:dyDescent="0.3">
      <c r="H149" s="2" t="s">
        <v>144</v>
      </c>
      <c r="I149" s="21"/>
      <c r="J149" s="13"/>
      <c r="L149" s="26">
        <f>Table1345678101112131415161718192021222324252627[[#This Row],[الدولار]]+(Table1345678101112131415161718192021222324252627[[#This Row],[اللبناني]]/90)</f>
        <v>0</v>
      </c>
      <c r="M149" s="6"/>
    </row>
    <row r="150" spans="8:13" s="8" customFormat="1" x14ac:dyDescent="0.3">
      <c r="H150" s="2" t="s">
        <v>144</v>
      </c>
      <c r="I150" s="21"/>
      <c r="J150" s="13"/>
      <c r="L150" s="26">
        <f>Table1345678101112131415161718192021222324252627[[#This Row],[الدولار]]+(Table1345678101112131415161718192021222324252627[[#This Row],[اللبناني]]/90)</f>
        <v>0</v>
      </c>
      <c r="M150" s="6"/>
    </row>
    <row r="151" spans="8:13" s="8" customFormat="1" x14ac:dyDescent="0.3">
      <c r="H151" s="2" t="s">
        <v>144</v>
      </c>
      <c r="I151" s="21"/>
      <c r="J151" s="13"/>
      <c r="L151" s="26">
        <f>Table1345678101112131415161718192021222324252627[[#This Row],[الدولار]]+(Table1345678101112131415161718192021222324252627[[#This Row],[اللبناني]]/90)</f>
        <v>0</v>
      </c>
      <c r="M151" s="6"/>
    </row>
    <row r="152" spans="8:13" s="8" customFormat="1" x14ac:dyDescent="0.3">
      <c r="H152" s="2" t="s">
        <v>144</v>
      </c>
      <c r="I152" s="21"/>
      <c r="J152" s="13"/>
      <c r="L152" s="26">
        <f>Table1345678101112131415161718192021222324252627[[#This Row],[الدولار]]+(Table1345678101112131415161718192021222324252627[[#This Row],[اللبناني]]/90)</f>
        <v>0</v>
      </c>
      <c r="M152" s="6"/>
    </row>
    <row r="153" spans="8:13" s="8" customFormat="1" x14ac:dyDescent="0.3">
      <c r="H153" s="2" t="s">
        <v>144</v>
      </c>
      <c r="I153" s="21"/>
      <c r="J153" s="13"/>
      <c r="L153" s="26">
        <f>Table1345678101112131415161718192021222324252627[[#This Row],[الدولار]]+(Table1345678101112131415161718192021222324252627[[#This Row],[اللبناني]]/90)</f>
        <v>0</v>
      </c>
      <c r="M153" s="6"/>
    </row>
    <row r="154" spans="8:13" s="8" customFormat="1" x14ac:dyDescent="0.3">
      <c r="H154" s="2" t="s">
        <v>144</v>
      </c>
      <c r="I154" s="21"/>
      <c r="J154" s="13"/>
      <c r="L154" s="26">
        <f>Table1345678101112131415161718192021222324252627[[#This Row],[الدولار]]+(Table1345678101112131415161718192021222324252627[[#This Row],[اللبناني]]/90)</f>
        <v>0</v>
      </c>
      <c r="M154" s="6"/>
    </row>
    <row r="155" spans="8:13" s="8" customFormat="1" x14ac:dyDescent="0.3">
      <c r="H155" s="2" t="s">
        <v>144</v>
      </c>
      <c r="I155" s="21"/>
      <c r="J155" s="13"/>
      <c r="L155" s="26">
        <f>Table1345678101112131415161718192021222324252627[[#This Row],[الدولار]]+(Table1345678101112131415161718192021222324252627[[#This Row],[اللبناني]]/90)</f>
        <v>0</v>
      </c>
      <c r="M155" s="6"/>
    </row>
    <row r="156" spans="8:13" s="8" customFormat="1" x14ac:dyDescent="0.3">
      <c r="H156" s="2" t="s">
        <v>144</v>
      </c>
      <c r="I156" s="21"/>
      <c r="J156" s="13"/>
      <c r="L156" s="26">
        <f>Table1345678101112131415161718192021222324252627[[#This Row],[الدولار]]+(Table1345678101112131415161718192021222324252627[[#This Row],[اللبناني]]/90)</f>
        <v>0</v>
      </c>
      <c r="M156" s="6"/>
    </row>
    <row r="157" spans="8:13" s="8" customFormat="1" x14ac:dyDescent="0.3">
      <c r="H157" s="2" t="s">
        <v>144</v>
      </c>
      <c r="I157" s="21"/>
      <c r="J157" s="13"/>
      <c r="L157" s="26">
        <f>Table1345678101112131415161718192021222324252627[[#This Row],[الدولار]]+(Table1345678101112131415161718192021222324252627[[#This Row],[اللبناني]]/90)</f>
        <v>0</v>
      </c>
      <c r="M157" s="6"/>
    </row>
    <row r="158" spans="8:13" s="8" customFormat="1" x14ac:dyDescent="0.3">
      <c r="H158" s="2" t="s">
        <v>144</v>
      </c>
      <c r="I158" s="21"/>
      <c r="J158" s="13"/>
      <c r="L158" s="26">
        <f>Table1345678101112131415161718192021222324252627[[#This Row],[الدولار]]+(Table1345678101112131415161718192021222324252627[[#This Row],[اللبناني]]/90)</f>
        <v>0</v>
      </c>
      <c r="M158" s="6"/>
    </row>
    <row r="159" spans="8:13" s="8" customFormat="1" x14ac:dyDescent="0.3">
      <c r="H159" s="2" t="s">
        <v>144</v>
      </c>
      <c r="I159" s="21"/>
      <c r="J159" s="13"/>
      <c r="L159" s="26">
        <f>Table1345678101112131415161718192021222324252627[[#This Row],[الدولار]]+(Table1345678101112131415161718192021222324252627[[#This Row],[اللبناني]]/90)</f>
        <v>0</v>
      </c>
      <c r="M159" s="6"/>
    </row>
    <row r="160" spans="8:13" s="8" customFormat="1" x14ac:dyDescent="0.3">
      <c r="H160" s="2" t="s">
        <v>144</v>
      </c>
      <c r="I160" s="21"/>
      <c r="J160" s="13"/>
      <c r="L160" s="26">
        <f>Table1345678101112131415161718192021222324252627[[#This Row],[الدولار]]+(Table1345678101112131415161718192021222324252627[[#This Row],[اللبناني]]/90)</f>
        <v>0</v>
      </c>
      <c r="M160" s="6"/>
    </row>
    <row r="161" spans="8:13" s="8" customFormat="1" x14ac:dyDescent="0.3">
      <c r="H161" s="2" t="s">
        <v>144</v>
      </c>
      <c r="I161" s="21"/>
      <c r="J161" s="13"/>
      <c r="L161" s="26">
        <f>Table1345678101112131415161718192021222324252627[[#This Row],[الدولار]]+(Table1345678101112131415161718192021222324252627[[#This Row],[اللبناني]]/90)</f>
        <v>0</v>
      </c>
      <c r="M161" s="6"/>
    </row>
    <row r="162" spans="8:13" s="8" customFormat="1" x14ac:dyDescent="0.3">
      <c r="H162" s="2" t="s">
        <v>144</v>
      </c>
      <c r="I162" s="21"/>
      <c r="J162" s="13"/>
      <c r="L162" s="26">
        <f>Table1345678101112131415161718192021222324252627[[#This Row],[الدولار]]+(Table1345678101112131415161718192021222324252627[[#This Row],[اللبناني]]/90)</f>
        <v>0</v>
      </c>
      <c r="M162" s="6"/>
    </row>
    <row r="163" spans="8:13" s="8" customFormat="1" x14ac:dyDescent="0.3">
      <c r="H163" s="2" t="s">
        <v>144</v>
      </c>
      <c r="I163" s="21"/>
      <c r="J163" s="13"/>
      <c r="L163" s="26">
        <f>Table1345678101112131415161718192021222324252627[[#This Row],[الدولار]]+(Table1345678101112131415161718192021222324252627[[#This Row],[اللبناني]]/90)</f>
        <v>0</v>
      </c>
      <c r="M163" s="6"/>
    </row>
    <row r="164" spans="8:13" s="8" customFormat="1" x14ac:dyDescent="0.3">
      <c r="H164" s="2" t="s">
        <v>144</v>
      </c>
      <c r="I164" s="21"/>
      <c r="J164" s="13"/>
      <c r="L164" s="26">
        <f>Table1345678101112131415161718192021222324252627[[#This Row],[الدولار]]+(Table1345678101112131415161718192021222324252627[[#This Row],[اللبناني]]/90)</f>
        <v>0</v>
      </c>
      <c r="M164" s="6"/>
    </row>
    <row r="165" spans="8:13" s="8" customFormat="1" x14ac:dyDescent="0.3">
      <c r="H165" s="2" t="s">
        <v>144</v>
      </c>
      <c r="I165" s="21"/>
      <c r="J165" s="13"/>
      <c r="L165" s="26">
        <f>Table1345678101112131415161718192021222324252627[[#This Row],[الدولار]]+(Table1345678101112131415161718192021222324252627[[#This Row],[اللبناني]]/90)</f>
        <v>0</v>
      </c>
      <c r="M165" s="6"/>
    </row>
    <row r="166" spans="8:13" s="8" customFormat="1" x14ac:dyDescent="0.3">
      <c r="H166" s="2" t="s">
        <v>144</v>
      </c>
      <c r="I166" s="21"/>
      <c r="J166" s="13"/>
      <c r="L166" s="26">
        <f>Table1345678101112131415161718192021222324252627[[#This Row],[الدولار]]+(Table1345678101112131415161718192021222324252627[[#This Row],[اللبناني]]/90)</f>
        <v>0</v>
      </c>
      <c r="M166" s="6"/>
    </row>
    <row r="167" spans="8:13" s="8" customFormat="1" x14ac:dyDescent="0.3">
      <c r="H167" s="2" t="s">
        <v>144</v>
      </c>
      <c r="I167" s="21"/>
      <c r="J167" s="13"/>
      <c r="L167" s="26">
        <f>Table1345678101112131415161718192021222324252627[[#This Row],[الدولار]]+(Table1345678101112131415161718192021222324252627[[#This Row],[اللبناني]]/90)</f>
        <v>0</v>
      </c>
      <c r="M167" s="6"/>
    </row>
    <row r="168" spans="8:13" s="8" customFormat="1" x14ac:dyDescent="0.3">
      <c r="H168" s="2" t="s">
        <v>144</v>
      </c>
      <c r="I168" s="21"/>
      <c r="J168" s="13"/>
      <c r="L168" s="26">
        <f>Table1345678101112131415161718192021222324252627[[#This Row],[الدولار]]+(Table1345678101112131415161718192021222324252627[[#This Row],[اللبناني]]/90)</f>
        <v>0</v>
      </c>
      <c r="M168" s="6"/>
    </row>
    <row r="169" spans="8:13" s="8" customFormat="1" x14ac:dyDescent="0.3">
      <c r="H169" s="2" t="s">
        <v>144</v>
      </c>
      <c r="I169" s="21"/>
      <c r="J169" s="13"/>
      <c r="L169" s="26">
        <f>Table1345678101112131415161718192021222324252627[[#This Row],[الدولار]]+(Table1345678101112131415161718192021222324252627[[#This Row],[اللبناني]]/90)</f>
        <v>0</v>
      </c>
      <c r="M169" s="6"/>
    </row>
    <row r="170" spans="8:13" s="8" customFormat="1" x14ac:dyDescent="0.3">
      <c r="H170" s="2" t="s">
        <v>144</v>
      </c>
      <c r="I170" s="21"/>
      <c r="J170" s="13"/>
      <c r="L170" s="26">
        <f>Table1345678101112131415161718192021222324252627[[#This Row],[الدولار]]+(Table1345678101112131415161718192021222324252627[[#This Row],[اللبناني]]/90)</f>
        <v>0</v>
      </c>
      <c r="M170" s="6"/>
    </row>
    <row r="171" spans="8:13" s="8" customFormat="1" x14ac:dyDescent="0.3">
      <c r="H171" s="2" t="s">
        <v>144</v>
      </c>
      <c r="I171" s="21"/>
      <c r="J171" s="13"/>
      <c r="L171" s="26">
        <f>Table1345678101112131415161718192021222324252627[[#This Row],[الدولار]]+(Table1345678101112131415161718192021222324252627[[#This Row],[اللبناني]]/90)</f>
        <v>0</v>
      </c>
      <c r="M171" s="6"/>
    </row>
    <row r="172" spans="8:13" s="8" customFormat="1" x14ac:dyDescent="0.3">
      <c r="H172" s="2" t="s">
        <v>144</v>
      </c>
      <c r="I172" s="21"/>
      <c r="J172" s="13"/>
      <c r="L172" s="26">
        <f>Table1345678101112131415161718192021222324252627[[#This Row],[الدولار]]+(Table1345678101112131415161718192021222324252627[[#This Row],[اللبناني]]/90)</f>
        <v>0</v>
      </c>
      <c r="M172" s="6"/>
    </row>
    <row r="173" spans="8:13" s="8" customFormat="1" x14ac:dyDescent="0.3">
      <c r="H173" s="2" t="s">
        <v>144</v>
      </c>
      <c r="I173" s="21"/>
      <c r="J173" s="13"/>
      <c r="L173" s="26">
        <f>Table1345678101112131415161718192021222324252627[[#This Row],[الدولار]]+(Table1345678101112131415161718192021222324252627[[#This Row],[اللبناني]]/90)</f>
        <v>0</v>
      </c>
      <c r="M173" s="6"/>
    </row>
    <row r="174" spans="8:13" s="8" customFormat="1" x14ac:dyDescent="0.3">
      <c r="H174" s="2" t="s">
        <v>144</v>
      </c>
      <c r="I174" s="21"/>
      <c r="J174" s="13"/>
      <c r="L174" s="26">
        <f>Table1345678101112131415161718192021222324252627[[#This Row],[الدولار]]+(Table1345678101112131415161718192021222324252627[[#This Row],[اللبناني]]/90)</f>
        <v>0</v>
      </c>
      <c r="M174" s="6"/>
    </row>
    <row r="175" spans="8:13" s="8" customFormat="1" x14ac:dyDescent="0.3">
      <c r="H175" s="2" t="s">
        <v>144</v>
      </c>
      <c r="I175" s="21"/>
      <c r="J175" s="13"/>
      <c r="L175" s="26">
        <f>Table1345678101112131415161718192021222324252627[[#This Row],[الدولار]]+(Table1345678101112131415161718192021222324252627[[#This Row],[اللبناني]]/90)</f>
        <v>0</v>
      </c>
      <c r="M175" s="6"/>
    </row>
    <row r="176" spans="8:13" s="8" customFormat="1" x14ac:dyDescent="0.3">
      <c r="H176" s="2" t="s">
        <v>144</v>
      </c>
      <c r="I176" s="21"/>
      <c r="J176" s="13"/>
      <c r="L176" s="26">
        <f>Table1345678101112131415161718192021222324252627[[#This Row],[الدولار]]+(Table1345678101112131415161718192021222324252627[[#This Row],[اللبناني]]/90)</f>
        <v>0</v>
      </c>
      <c r="M176" s="6"/>
    </row>
    <row r="177" spans="8:13" s="8" customFormat="1" x14ac:dyDescent="0.3">
      <c r="H177" s="2" t="s">
        <v>144</v>
      </c>
      <c r="I177" s="21"/>
      <c r="J177" s="13"/>
      <c r="L177" s="26">
        <f>Table1345678101112131415161718192021222324252627[[#This Row],[الدولار]]+(Table1345678101112131415161718192021222324252627[[#This Row],[اللبناني]]/90)</f>
        <v>0</v>
      </c>
      <c r="M177" s="6"/>
    </row>
    <row r="178" spans="8:13" s="8" customFormat="1" x14ac:dyDescent="0.3">
      <c r="H178" s="2" t="s">
        <v>144</v>
      </c>
      <c r="I178" s="21"/>
      <c r="J178" s="13"/>
      <c r="L178" s="26">
        <f>Table1345678101112131415161718192021222324252627[[#This Row],[الدولار]]+(Table1345678101112131415161718192021222324252627[[#This Row],[اللبناني]]/90)</f>
        <v>0</v>
      </c>
      <c r="M178" s="6"/>
    </row>
    <row r="179" spans="8:13" s="8" customFormat="1" x14ac:dyDescent="0.3">
      <c r="H179" s="2" t="s">
        <v>144</v>
      </c>
      <c r="I179" s="21"/>
      <c r="J179" s="13"/>
      <c r="L179" s="26">
        <f>Table1345678101112131415161718192021222324252627[[#This Row],[الدولار]]+(Table1345678101112131415161718192021222324252627[[#This Row],[اللبناني]]/90)</f>
        <v>0</v>
      </c>
      <c r="M179" s="6"/>
    </row>
    <row r="180" spans="8:13" s="8" customFormat="1" x14ac:dyDescent="0.3">
      <c r="H180" s="2" t="s">
        <v>144</v>
      </c>
      <c r="I180" s="21"/>
      <c r="J180" s="13"/>
      <c r="L180" s="26">
        <f>Table1345678101112131415161718192021222324252627[[#This Row],[الدولار]]+(Table1345678101112131415161718192021222324252627[[#This Row],[اللبناني]]/90)</f>
        <v>0</v>
      </c>
      <c r="M180" s="6"/>
    </row>
    <row r="181" spans="8:13" s="8" customFormat="1" x14ac:dyDescent="0.3">
      <c r="H181" s="2" t="s">
        <v>144</v>
      </c>
      <c r="I181" s="21"/>
      <c r="J181" s="13"/>
      <c r="L181" s="26">
        <f>Table1345678101112131415161718192021222324252627[[#This Row],[الدولار]]+(Table1345678101112131415161718192021222324252627[[#This Row],[اللبناني]]/90)</f>
        <v>0</v>
      </c>
      <c r="M181" s="6"/>
    </row>
    <row r="182" spans="8:13" s="8" customFormat="1" x14ac:dyDescent="0.3">
      <c r="H182" s="2" t="s">
        <v>144</v>
      </c>
      <c r="I182" s="21"/>
      <c r="J182" s="13"/>
      <c r="L182" s="26">
        <f>Table1345678101112131415161718192021222324252627[[#This Row],[الدولار]]+(Table1345678101112131415161718192021222324252627[[#This Row],[اللبناني]]/90)</f>
        <v>0</v>
      </c>
      <c r="M182" s="6"/>
    </row>
    <row r="183" spans="8:13" s="8" customFormat="1" x14ac:dyDescent="0.3">
      <c r="H183" s="2" t="s">
        <v>144</v>
      </c>
      <c r="I183" s="21"/>
      <c r="J183" s="13"/>
      <c r="L183" s="26">
        <f>Table1345678101112131415161718192021222324252627[[#This Row],[الدولار]]+(Table1345678101112131415161718192021222324252627[[#This Row],[اللبناني]]/90)</f>
        <v>0</v>
      </c>
      <c r="M183" s="6"/>
    </row>
    <row r="184" spans="8:13" s="8" customFormat="1" x14ac:dyDescent="0.3">
      <c r="H184" s="2" t="s">
        <v>144</v>
      </c>
      <c r="I184" s="21"/>
      <c r="J184" s="13"/>
      <c r="L184" s="26">
        <f>Table1345678101112131415161718192021222324252627[[#This Row],[الدولار]]+(Table1345678101112131415161718192021222324252627[[#This Row],[اللبناني]]/90)</f>
        <v>0</v>
      </c>
      <c r="M184" s="6"/>
    </row>
    <row r="185" spans="8:13" s="8" customFormat="1" x14ac:dyDescent="0.3">
      <c r="H185" s="2" t="s">
        <v>144</v>
      </c>
      <c r="I185" s="21"/>
      <c r="J185" s="13"/>
      <c r="L185" s="26">
        <f>Table1345678101112131415161718192021222324252627[[#This Row],[الدولار]]+(Table1345678101112131415161718192021222324252627[[#This Row],[اللبناني]]/90)</f>
        <v>0</v>
      </c>
      <c r="M185" s="6"/>
    </row>
    <row r="186" spans="8:13" s="8" customFormat="1" x14ac:dyDescent="0.3">
      <c r="H186" s="2" t="s">
        <v>144</v>
      </c>
      <c r="I186" s="21"/>
      <c r="J186" s="13"/>
      <c r="L186" s="26">
        <f>Table1345678101112131415161718192021222324252627[[#This Row],[الدولار]]+(Table1345678101112131415161718192021222324252627[[#This Row],[اللبناني]]/90)</f>
        <v>0</v>
      </c>
      <c r="M186" s="6"/>
    </row>
    <row r="187" spans="8:13" s="8" customFormat="1" x14ac:dyDescent="0.3">
      <c r="H187" s="2" t="s">
        <v>144</v>
      </c>
      <c r="I187" s="21"/>
      <c r="J187" s="13"/>
      <c r="L187" s="26">
        <f>Table1345678101112131415161718192021222324252627[[#This Row],[الدولار]]+(Table1345678101112131415161718192021222324252627[[#This Row],[اللبناني]]/90)</f>
        <v>0</v>
      </c>
      <c r="M187" s="6"/>
    </row>
    <row r="188" spans="8:13" s="8" customFormat="1" x14ac:dyDescent="0.3">
      <c r="H188" s="2" t="s">
        <v>144</v>
      </c>
      <c r="I188" s="21"/>
      <c r="J188" s="13"/>
      <c r="L188" s="26">
        <f>Table1345678101112131415161718192021222324252627[[#This Row],[الدولار]]+(Table1345678101112131415161718192021222324252627[[#This Row],[اللبناني]]/90)</f>
        <v>0</v>
      </c>
      <c r="M188" s="6"/>
    </row>
    <row r="189" spans="8:13" s="8" customFormat="1" x14ac:dyDescent="0.3">
      <c r="H189" s="2" t="s">
        <v>144</v>
      </c>
      <c r="I189" s="21"/>
      <c r="J189" s="13"/>
      <c r="L189" s="26">
        <f>Table1345678101112131415161718192021222324252627[[#This Row],[الدولار]]+(Table1345678101112131415161718192021222324252627[[#This Row],[اللبناني]]/90)</f>
        <v>0</v>
      </c>
      <c r="M189" s="6"/>
    </row>
    <row r="190" spans="8:13" s="8" customFormat="1" x14ac:dyDescent="0.3">
      <c r="H190" s="2" t="s">
        <v>144</v>
      </c>
      <c r="I190" s="21"/>
      <c r="J190" s="13"/>
      <c r="L190" s="26">
        <f>Table1345678101112131415161718192021222324252627[[#This Row],[الدولار]]+(Table1345678101112131415161718192021222324252627[[#This Row],[اللبناني]]/90)</f>
        <v>0</v>
      </c>
      <c r="M190" s="6"/>
    </row>
    <row r="191" spans="8:13" s="8" customFormat="1" x14ac:dyDescent="0.3">
      <c r="H191" s="2" t="s">
        <v>144</v>
      </c>
      <c r="I191" s="21"/>
      <c r="J191" s="13"/>
      <c r="L191" s="26">
        <f>Table1345678101112131415161718192021222324252627[[#This Row],[الدولار]]+(Table1345678101112131415161718192021222324252627[[#This Row],[اللبناني]]/90)</f>
        <v>0</v>
      </c>
      <c r="M191" s="6"/>
    </row>
    <row r="192" spans="8:13" s="8" customFormat="1" x14ac:dyDescent="0.3">
      <c r="H192" s="2" t="s">
        <v>144</v>
      </c>
      <c r="I192" s="21"/>
      <c r="J192" s="13"/>
      <c r="L192" s="26">
        <f>Table1345678101112131415161718192021222324252627[[#This Row],[الدولار]]+(Table1345678101112131415161718192021222324252627[[#This Row],[اللبناني]]/90)</f>
        <v>0</v>
      </c>
      <c r="M192" s="6"/>
    </row>
    <row r="193" spans="8:13" s="8" customFormat="1" x14ac:dyDescent="0.3">
      <c r="H193" s="2" t="s">
        <v>144</v>
      </c>
      <c r="I193" s="21"/>
      <c r="J193" s="13"/>
      <c r="L193" s="26">
        <f>Table1345678101112131415161718192021222324252627[[#This Row],[الدولار]]+(Table1345678101112131415161718192021222324252627[[#This Row],[اللبناني]]/90)</f>
        <v>0</v>
      </c>
      <c r="M193" s="6"/>
    </row>
    <row r="194" spans="8:13" s="8" customFormat="1" x14ac:dyDescent="0.3">
      <c r="H194" s="2" t="s">
        <v>144</v>
      </c>
      <c r="I194" s="21"/>
      <c r="J194" s="13"/>
      <c r="L194" s="26">
        <f>Table1345678101112131415161718192021222324252627[[#This Row],[الدولار]]+(Table1345678101112131415161718192021222324252627[[#This Row],[اللبناني]]/90)</f>
        <v>0</v>
      </c>
      <c r="M194" s="6"/>
    </row>
    <row r="195" spans="8:13" s="8" customFormat="1" x14ac:dyDescent="0.3">
      <c r="H195" s="2" t="s">
        <v>144</v>
      </c>
      <c r="I195" s="21"/>
      <c r="J195" s="13"/>
      <c r="L195" s="26">
        <f>Table1345678101112131415161718192021222324252627[[#This Row],[الدولار]]+(Table1345678101112131415161718192021222324252627[[#This Row],[اللبناني]]/90)</f>
        <v>0</v>
      </c>
      <c r="M195" s="6"/>
    </row>
    <row r="196" spans="8:13" s="8" customFormat="1" x14ac:dyDescent="0.3">
      <c r="H196" s="2" t="s">
        <v>144</v>
      </c>
      <c r="I196" s="21"/>
      <c r="J196" s="13"/>
      <c r="L196" s="26">
        <f>Table1345678101112131415161718192021222324252627[[#This Row],[الدولار]]+(Table1345678101112131415161718192021222324252627[[#This Row],[اللبناني]]/90)</f>
        <v>0</v>
      </c>
      <c r="M196" s="6"/>
    </row>
    <row r="197" spans="8:13" s="8" customFormat="1" x14ac:dyDescent="0.3">
      <c r="H197" s="2" t="s">
        <v>144</v>
      </c>
      <c r="I197" s="21"/>
      <c r="J197" s="13"/>
      <c r="L197" s="26">
        <f>Table1345678101112131415161718192021222324252627[[#This Row],[الدولار]]+(Table1345678101112131415161718192021222324252627[[#This Row],[اللبناني]]/90)</f>
        <v>0</v>
      </c>
      <c r="M197" s="6"/>
    </row>
    <row r="198" spans="8:13" s="8" customFormat="1" x14ac:dyDescent="0.3">
      <c r="H198" s="2" t="s">
        <v>144</v>
      </c>
      <c r="I198" s="21"/>
      <c r="J198" s="13"/>
      <c r="L198" s="26">
        <f>Table1345678101112131415161718192021222324252627[[#This Row],[الدولار]]+(Table1345678101112131415161718192021222324252627[[#This Row],[اللبناني]]/90)</f>
        <v>0</v>
      </c>
      <c r="M198" s="6"/>
    </row>
    <row r="199" spans="8:13" s="8" customFormat="1" x14ac:dyDescent="0.3">
      <c r="H199" s="2" t="s">
        <v>144</v>
      </c>
      <c r="I199" s="21"/>
      <c r="J199" s="13"/>
      <c r="L199" s="26">
        <f>Table1345678101112131415161718192021222324252627[[#This Row],[الدولار]]+(Table1345678101112131415161718192021222324252627[[#This Row],[اللبناني]]/90)</f>
        <v>0</v>
      </c>
      <c r="M199" s="6"/>
    </row>
    <row r="200" spans="8:13" s="8" customFormat="1" x14ac:dyDescent="0.3">
      <c r="H200" s="2" t="s">
        <v>144</v>
      </c>
      <c r="I200" s="21"/>
      <c r="J200" s="13"/>
      <c r="L200" s="26">
        <f>Table1345678101112131415161718192021222324252627[[#This Row],[الدولار]]+(Table1345678101112131415161718192021222324252627[[#This Row],[اللبناني]]/90)</f>
        <v>0</v>
      </c>
      <c r="M200" s="6"/>
    </row>
    <row r="201" spans="8:13" s="8" customFormat="1" x14ac:dyDescent="0.3">
      <c r="H201" s="2" t="s">
        <v>144</v>
      </c>
      <c r="I201" s="21"/>
      <c r="J201" s="13"/>
      <c r="L201" s="26">
        <f>Table1345678101112131415161718192021222324252627[[#This Row],[الدولار]]+(Table1345678101112131415161718192021222324252627[[#This Row],[اللبناني]]/90)</f>
        <v>0</v>
      </c>
      <c r="M201" s="6"/>
    </row>
    <row r="202" spans="8:13" s="8" customFormat="1" x14ac:dyDescent="0.3">
      <c r="H202" s="2" t="s">
        <v>144</v>
      </c>
      <c r="I202" s="21"/>
      <c r="J202" s="13"/>
      <c r="L202" s="26">
        <f>Table1345678101112131415161718192021222324252627[[#This Row],[الدولار]]+(Table1345678101112131415161718192021222324252627[[#This Row],[اللبناني]]/90)</f>
        <v>0</v>
      </c>
      <c r="M202" s="6"/>
    </row>
    <row r="203" spans="8:13" s="8" customFormat="1" x14ac:dyDescent="0.3">
      <c r="H203" s="2" t="s">
        <v>144</v>
      </c>
      <c r="I203" s="21"/>
      <c r="J203" s="13"/>
      <c r="L203" s="26">
        <f>Table1345678101112131415161718192021222324252627[[#This Row],[الدولار]]+(Table1345678101112131415161718192021222324252627[[#This Row],[اللبناني]]/90)</f>
        <v>0</v>
      </c>
      <c r="M203" s="6"/>
    </row>
    <row r="204" spans="8:13" s="8" customFormat="1" x14ac:dyDescent="0.3">
      <c r="H204" s="2" t="s">
        <v>144</v>
      </c>
      <c r="I204" s="21"/>
      <c r="J204" s="13"/>
      <c r="L204" s="26">
        <f>Table1345678101112131415161718192021222324252627[[#This Row],[الدولار]]+(Table1345678101112131415161718192021222324252627[[#This Row],[اللبناني]]/90)</f>
        <v>0</v>
      </c>
      <c r="M204" s="6"/>
    </row>
    <row r="205" spans="8:13" s="8" customFormat="1" x14ac:dyDescent="0.3">
      <c r="H205" s="2" t="s">
        <v>144</v>
      </c>
      <c r="I205" s="21"/>
      <c r="J205" s="13"/>
      <c r="L205" s="26">
        <f>Table1345678101112131415161718192021222324252627[[#This Row],[الدولار]]+(Table1345678101112131415161718192021222324252627[[#This Row],[اللبناني]]/90)</f>
        <v>0</v>
      </c>
      <c r="M205" s="6"/>
    </row>
    <row r="206" spans="8:13" s="8" customFormat="1" x14ac:dyDescent="0.3">
      <c r="H206" s="2" t="s">
        <v>144</v>
      </c>
      <c r="I206" s="21"/>
      <c r="J206" s="13"/>
      <c r="L206" s="26">
        <f>Table1345678101112131415161718192021222324252627[[#This Row],[الدولار]]+(Table1345678101112131415161718192021222324252627[[#This Row],[اللبناني]]/90)</f>
        <v>0</v>
      </c>
      <c r="M206" s="6"/>
    </row>
    <row r="207" spans="8:13" s="8" customFormat="1" x14ac:dyDescent="0.3">
      <c r="H207" s="2" t="s">
        <v>144</v>
      </c>
      <c r="I207" s="21"/>
      <c r="J207" s="13"/>
      <c r="L207" s="26">
        <f>Table1345678101112131415161718192021222324252627[[#This Row],[الدولار]]+(Table1345678101112131415161718192021222324252627[[#This Row],[اللبناني]]/90)</f>
        <v>0</v>
      </c>
      <c r="M207" s="6"/>
    </row>
    <row r="208" spans="8:13" s="8" customFormat="1" x14ac:dyDescent="0.3">
      <c r="H208" s="2" t="s">
        <v>144</v>
      </c>
      <c r="I208" s="21"/>
      <c r="J208" s="13"/>
      <c r="L208" s="26">
        <f>Table1345678101112131415161718192021222324252627[[#This Row],[الدولار]]+(Table1345678101112131415161718192021222324252627[[#This Row],[اللبناني]]/90)</f>
        <v>0</v>
      </c>
      <c r="M208" s="6"/>
    </row>
    <row r="209" spans="8:13" s="8" customFormat="1" x14ac:dyDescent="0.3">
      <c r="H209" s="2" t="s">
        <v>144</v>
      </c>
      <c r="I209" s="21"/>
      <c r="J209" s="13"/>
      <c r="L209" s="26">
        <f>Table1345678101112131415161718192021222324252627[[#This Row],[الدولار]]+(Table1345678101112131415161718192021222324252627[[#This Row],[اللبناني]]/90)</f>
        <v>0</v>
      </c>
      <c r="M209" s="6"/>
    </row>
    <row r="210" spans="8:13" s="8" customFormat="1" x14ac:dyDescent="0.3">
      <c r="H210" s="2" t="s">
        <v>144</v>
      </c>
      <c r="I210" s="21"/>
      <c r="J210" s="13"/>
      <c r="L210" s="26">
        <f>Table1345678101112131415161718192021222324252627[[#This Row],[الدولار]]+(Table1345678101112131415161718192021222324252627[[#This Row],[اللبناني]]/90)</f>
        <v>0</v>
      </c>
      <c r="M210" s="6"/>
    </row>
    <row r="211" spans="8:13" s="8" customFormat="1" x14ac:dyDescent="0.3">
      <c r="H211" s="2" t="s">
        <v>144</v>
      </c>
      <c r="I211" s="21"/>
      <c r="J211" s="13"/>
      <c r="L211" s="26">
        <f>Table1345678101112131415161718192021222324252627[[#This Row],[الدولار]]+(Table1345678101112131415161718192021222324252627[[#This Row],[اللبناني]]/90)</f>
        <v>0</v>
      </c>
      <c r="M211" s="6"/>
    </row>
    <row r="212" spans="8:13" s="8" customFormat="1" x14ac:dyDescent="0.3">
      <c r="H212" s="2" t="s">
        <v>144</v>
      </c>
      <c r="I212" s="21"/>
      <c r="J212" s="13"/>
      <c r="L212" s="26">
        <f>Table1345678101112131415161718192021222324252627[[#This Row],[الدولار]]+(Table1345678101112131415161718192021222324252627[[#This Row],[اللبناني]]/90)</f>
        <v>0</v>
      </c>
      <c r="M212" s="6"/>
    </row>
    <row r="213" spans="8:13" s="8" customFormat="1" x14ac:dyDescent="0.3">
      <c r="H213" s="2" t="s">
        <v>144</v>
      </c>
      <c r="I213" s="21"/>
      <c r="J213" s="13"/>
      <c r="L213" s="26">
        <f>Table1345678101112131415161718192021222324252627[[#This Row],[الدولار]]+(Table1345678101112131415161718192021222324252627[[#This Row],[اللبناني]]/90)</f>
        <v>0</v>
      </c>
      <c r="M213" s="6"/>
    </row>
    <row r="214" spans="8:13" s="8" customFormat="1" x14ac:dyDescent="0.3">
      <c r="H214" s="2" t="s">
        <v>144</v>
      </c>
      <c r="I214" s="21"/>
      <c r="J214" s="13"/>
      <c r="L214" s="26">
        <f>Table1345678101112131415161718192021222324252627[[#This Row],[الدولار]]+(Table1345678101112131415161718192021222324252627[[#This Row],[اللبناني]]/90)</f>
        <v>0</v>
      </c>
      <c r="M214" s="6"/>
    </row>
    <row r="215" spans="8:13" s="8" customFormat="1" x14ac:dyDescent="0.3">
      <c r="H215" s="2" t="s">
        <v>144</v>
      </c>
      <c r="I215" s="21"/>
      <c r="J215" s="13"/>
      <c r="L215" s="26">
        <f>Table1345678101112131415161718192021222324252627[[#This Row],[الدولار]]+(Table1345678101112131415161718192021222324252627[[#This Row],[اللبناني]]/90)</f>
        <v>0</v>
      </c>
      <c r="M215" s="6"/>
    </row>
    <row r="216" spans="8:13" s="8" customFormat="1" x14ac:dyDescent="0.3">
      <c r="H216" s="2" t="s">
        <v>144</v>
      </c>
      <c r="I216" s="21"/>
      <c r="J216" s="13"/>
      <c r="L216" s="26">
        <f>Table1345678101112131415161718192021222324252627[[#This Row],[الدولار]]+(Table1345678101112131415161718192021222324252627[[#This Row],[اللبناني]]/90)</f>
        <v>0</v>
      </c>
      <c r="M216" s="6"/>
    </row>
    <row r="217" spans="8:13" s="8" customFormat="1" x14ac:dyDescent="0.3">
      <c r="H217" s="2" t="s">
        <v>144</v>
      </c>
      <c r="I217" s="21"/>
      <c r="J217" s="13"/>
      <c r="L217" s="26">
        <f>Table1345678101112131415161718192021222324252627[[#This Row],[الدولار]]+(Table1345678101112131415161718192021222324252627[[#This Row],[اللبناني]]/90)</f>
        <v>0</v>
      </c>
      <c r="M217" s="6"/>
    </row>
    <row r="218" spans="8:13" s="8" customFormat="1" x14ac:dyDescent="0.3">
      <c r="H218" s="2" t="s">
        <v>144</v>
      </c>
      <c r="I218" s="21"/>
      <c r="J218" s="13"/>
      <c r="L218" s="26">
        <f>Table1345678101112131415161718192021222324252627[[#This Row],[الدولار]]+(Table1345678101112131415161718192021222324252627[[#This Row],[اللبناني]]/90)</f>
        <v>0</v>
      </c>
      <c r="M218" s="6"/>
    </row>
    <row r="219" spans="8:13" s="8" customFormat="1" x14ac:dyDescent="0.3">
      <c r="H219" s="2" t="s">
        <v>144</v>
      </c>
      <c r="I219" s="21"/>
      <c r="J219" s="13"/>
      <c r="L219" s="26">
        <f>Table1345678101112131415161718192021222324252627[[#This Row],[الدولار]]+(Table1345678101112131415161718192021222324252627[[#This Row],[اللبناني]]/90)</f>
        <v>0</v>
      </c>
      <c r="M219" s="6"/>
    </row>
    <row r="220" spans="8:13" s="8" customFormat="1" x14ac:dyDescent="0.3">
      <c r="H220" s="2" t="s">
        <v>144</v>
      </c>
      <c r="I220" s="21"/>
      <c r="J220" s="13"/>
      <c r="L220" s="26">
        <f>Table1345678101112131415161718192021222324252627[[#This Row],[الدولار]]+(Table1345678101112131415161718192021222324252627[[#This Row],[اللبناني]]/90)</f>
        <v>0</v>
      </c>
      <c r="M220" s="6"/>
    </row>
    <row r="221" spans="8:13" s="8" customFormat="1" x14ac:dyDescent="0.3">
      <c r="H221" s="2" t="s">
        <v>144</v>
      </c>
      <c r="I221" s="21"/>
      <c r="J221" s="13"/>
      <c r="L221" s="26">
        <f>Table1345678101112131415161718192021222324252627[[#This Row],[الدولار]]+(Table1345678101112131415161718192021222324252627[[#This Row],[اللبناني]]/90)</f>
        <v>0</v>
      </c>
      <c r="M221" s="6"/>
    </row>
    <row r="222" spans="8:13" s="8" customFormat="1" x14ac:dyDescent="0.3">
      <c r="H222" s="2" t="s">
        <v>144</v>
      </c>
      <c r="I222" s="21"/>
      <c r="J222" s="13"/>
      <c r="L222" s="26">
        <f>Table1345678101112131415161718192021222324252627[[#This Row],[الدولار]]+(Table1345678101112131415161718192021222324252627[[#This Row],[اللبناني]]/90)</f>
        <v>0</v>
      </c>
      <c r="M222" s="6"/>
    </row>
    <row r="223" spans="8:13" s="8" customFormat="1" x14ac:dyDescent="0.3">
      <c r="H223" s="2" t="s">
        <v>144</v>
      </c>
      <c r="I223" s="21"/>
      <c r="J223" s="13"/>
      <c r="L223" s="26">
        <f>Table1345678101112131415161718192021222324252627[[#This Row],[الدولار]]+(Table1345678101112131415161718192021222324252627[[#This Row],[اللبناني]]/90)</f>
        <v>0</v>
      </c>
      <c r="M223" s="6"/>
    </row>
    <row r="224" spans="8:13" s="8" customFormat="1" x14ac:dyDescent="0.3">
      <c r="H224" s="2" t="s">
        <v>144</v>
      </c>
      <c r="I224" s="21"/>
      <c r="J224" s="13"/>
      <c r="L224" s="26">
        <f>Table1345678101112131415161718192021222324252627[[#This Row],[الدولار]]+(Table1345678101112131415161718192021222324252627[[#This Row],[اللبناني]]/90)</f>
        <v>0</v>
      </c>
      <c r="M224" s="6"/>
    </row>
    <row r="225" spans="8:13" s="8" customFormat="1" x14ac:dyDescent="0.3">
      <c r="H225" s="2" t="s">
        <v>144</v>
      </c>
      <c r="I225" s="21"/>
      <c r="J225" s="13"/>
      <c r="L225" s="26">
        <f>Table1345678101112131415161718192021222324252627[[#This Row],[الدولار]]+(Table1345678101112131415161718192021222324252627[[#This Row],[اللبناني]]/90)</f>
        <v>0</v>
      </c>
      <c r="M225" s="6"/>
    </row>
    <row r="226" spans="8:13" s="8" customFormat="1" x14ac:dyDescent="0.3">
      <c r="H226" s="2" t="s">
        <v>144</v>
      </c>
      <c r="I226" s="21"/>
      <c r="J226" s="13"/>
      <c r="L226" s="26">
        <f>Table1345678101112131415161718192021222324252627[[#This Row],[الدولار]]+(Table1345678101112131415161718192021222324252627[[#This Row],[اللبناني]]/90)</f>
        <v>0</v>
      </c>
      <c r="M226" s="6"/>
    </row>
    <row r="227" spans="8:13" s="8" customFormat="1" x14ac:dyDescent="0.3">
      <c r="H227" s="2" t="s">
        <v>144</v>
      </c>
      <c r="I227" s="21"/>
      <c r="J227" s="13"/>
      <c r="L227" s="26">
        <f>Table1345678101112131415161718192021222324252627[[#This Row],[الدولار]]+(Table1345678101112131415161718192021222324252627[[#This Row],[اللبناني]]/90)</f>
        <v>0</v>
      </c>
      <c r="M227" s="6"/>
    </row>
    <row r="228" spans="8:13" s="8" customFormat="1" x14ac:dyDescent="0.3">
      <c r="H228" s="2" t="s">
        <v>144</v>
      </c>
      <c r="I228" s="21"/>
      <c r="J228" s="13"/>
      <c r="L228" s="26">
        <f>Table1345678101112131415161718192021222324252627[[#This Row],[الدولار]]+(Table1345678101112131415161718192021222324252627[[#This Row],[اللبناني]]/90)</f>
        <v>0</v>
      </c>
      <c r="M228" s="6"/>
    </row>
    <row r="229" spans="8:13" s="8" customFormat="1" x14ac:dyDescent="0.3">
      <c r="H229" s="2" t="s">
        <v>144</v>
      </c>
      <c r="I229" s="21"/>
      <c r="J229" s="13"/>
      <c r="L229" s="26">
        <f>Table1345678101112131415161718192021222324252627[[#This Row],[الدولار]]+(Table1345678101112131415161718192021222324252627[[#This Row],[اللبناني]]/90)</f>
        <v>0</v>
      </c>
      <c r="M229" s="6"/>
    </row>
    <row r="230" spans="8:13" s="8" customFormat="1" x14ac:dyDescent="0.3">
      <c r="H230" s="2" t="s">
        <v>144</v>
      </c>
      <c r="I230" s="21"/>
      <c r="J230" s="13"/>
      <c r="L230" s="26">
        <f>Table1345678101112131415161718192021222324252627[[#This Row],[الدولار]]+(Table1345678101112131415161718192021222324252627[[#This Row],[اللبناني]]/90)</f>
        <v>0</v>
      </c>
      <c r="M230" s="6"/>
    </row>
    <row r="231" spans="8:13" s="8" customFormat="1" x14ac:dyDescent="0.3">
      <c r="H231" s="2" t="s">
        <v>144</v>
      </c>
      <c r="I231" s="21"/>
      <c r="J231" s="13"/>
      <c r="L231" s="26">
        <f>Table1345678101112131415161718192021222324252627[[#This Row],[الدولار]]+(Table1345678101112131415161718192021222324252627[[#This Row],[اللبناني]]/90)</f>
        <v>0</v>
      </c>
      <c r="M231" s="6"/>
    </row>
    <row r="232" spans="8:13" s="8" customFormat="1" x14ac:dyDescent="0.3">
      <c r="H232" s="2" t="s">
        <v>144</v>
      </c>
      <c r="I232" s="21"/>
      <c r="J232" s="13"/>
      <c r="L232" s="26">
        <f>Table1345678101112131415161718192021222324252627[[#This Row],[الدولار]]+(Table1345678101112131415161718192021222324252627[[#This Row],[اللبناني]]/90)</f>
        <v>0</v>
      </c>
      <c r="M232" s="6"/>
    </row>
    <row r="233" spans="8:13" s="8" customFormat="1" x14ac:dyDescent="0.3">
      <c r="H233" s="2" t="s">
        <v>144</v>
      </c>
      <c r="I233" s="21"/>
      <c r="J233" s="13"/>
      <c r="L233" s="26">
        <f>Table1345678101112131415161718192021222324252627[[#This Row],[الدولار]]+(Table1345678101112131415161718192021222324252627[[#This Row],[اللبناني]]/90)</f>
        <v>0</v>
      </c>
      <c r="M233" s="6"/>
    </row>
    <row r="234" spans="8:13" s="8" customFormat="1" x14ac:dyDescent="0.3">
      <c r="H234" s="2" t="s">
        <v>144</v>
      </c>
      <c r="I234" s="21"/>
      <c r="J234" s="13"/>
      <c r="L234" s="26">
        <f>Table1345678101112131415161718192021222324252627[[#This Row],[الدولار]]+(Table1345678101112131415161718192021222324252627[[#This Row],[اللبناني]]/90)</f>
        <v>0</v>
      </c>
      <c r="M234" s="6"/>
    </row>
    <row r="235" spans="8:13" s="8" customFormat="1" x14ac:dyDescent="0.3">
      <c r="H235" s="2" t="s">
        <v>144</v>
      </c>
      <c r="I235" s="21"/>
      <c r="J235" s="13"/>
      <c r="L235" s="26">
        <f>Table1345678101112131415161718192021222324252627[[#This Row],[الدولار]]+(Table1345678101112131415161718192021222324252627[[#This Row],[اللبناني]]/90)</f>
        <v>0</v>
      </c>
      <c r="M235" s="6"/>
    </row>
    <row r="236" spans="8:13" s="8" customFormat="1" x14ac:dyDescent="0.3">
      <c r="H236" s="2" t="s">
        <v>144</v>
      </c>
      <c r="I236" s="21"/>
      <c r="J236" s="13"/>
      <c r="L236" s="26">
        <f>Table1345678101112131415161718192021222324252627[[#This Row],[الدولار]]+(Table1345678101112131415161718192021222324252627[[#This Row],[اللبناني]]/90)</f>
        <v>0</v>
      </c>
      <c r="M236" s="6"/>
    </row>
    <row r="237" spans="8:13" s="8" customFormat="1" x14ac:dyDescent="0.3">
      <c r="H237" s="2" t="s">
        <v>144</v>
      </c>
      <c r="I237" s="21"/>
      <c r="J237" s="13"/>
      <c r="L237" s="26">
        <f>Table1345678101112131415161718192021222324252627[[#This Row],[الدولار]]+(Table1345678101112131415161718192021222324252627[[#This Row],[اللبناني]]/90)</f>
        <v>0</v>
      </c>
      <c r="M237" s="6"/>
    </row>
    <row r="238" spans="8:13" s="8" customFormat="1" x14ac:dyDescent="0.3">
      <c r="H238" s="2" t="s">
        <v>144</v>
      </c>
      <c r="I238" s="21"/>
      <c r="J238" s="13"/>
      <c r="L238" s="26">
        <f>Table1345678101112131415161718192021222324252627[[#This Row],[الدولار]]+(Table1345678101112131415161718192021222324252627[[#This Row],[اللبناني]]/90)</f>
        <v>0</v>
      </c>
      <c r="M238" s="6"/>
    </row>
    <row r="239" spans="8:13" s="8" customFormat="1" x14ac:dyDescent="0.3">
      <c r="H239" s="2" t="s">
        <v>144</v>
      </c>
      <c r="I239" s="21"/>
      <c r="J239" s="13"/>
      <c r="L239" s="26">
        <f>Table1345678101112131415161718192021222324252627[[#This Row],[الدولار]]+(Table1345678101112131415161718192021222324252627[[#This Row],[اللبناني]]/90)</f>
        <v>0</v>
      </c>
      <c r="M239" s="6"/>
    </row>
    <row r="240" spans="8:13" s="8" customFormat="1" x14ac:dyDescent="0.3">
      <c r="H240" s="2" t="s">
        <v>144</v>
      </c>
      <c r="I240" s="21"/>
      <c r="J240" s="13"/>
      <c r="L240" s="26">
        <f>Table1345678101112131415161718192021222324252627[[#This Row],[الدولار]]+(Table1345678101112131415161718192021222324252627[[#This Row],[اللبناني]]/90)</f>
        <v>0</v>
      </c>
      <c r="M240" s="6"/>
    </row>
    <row r="241" spans="8:13" s="8" customFormat="1" x14ac:dyDescent="0.3">
      <c r="H241" s="2" t="s">
        <v>144</v>
      </c>
      <c r="I241" s="21"/>
      <c r="J241" s="13"/>
      <c r="L241" s="26">
        <f>Table1345678101112131415161718192021222324252627[[#This Row],[الدولار]]+(Table1345678101112131415161718192021222324252627[[#This Row],[اللبناني]]/90)</f>
        <v>0</v>
      </c>
      <c r="M241" s="6"/>
    </row>
    <row r="242" spans="8:13" s="8" customFormat="1" x14ac:dyDescent="0.3">
      <c r="H242" s="2" t="s">
        <v>144</v>
      </c>
      <c r="I242" s="21"/>
      <c r="J242" s="13"/>
      <c r="L242" s="26">
        <f>Table1345678101112131415161718192021222324252627[[#This Row],[الدولار]]+(Table1345678101112131415161718192021222324252627[[#This Row],[اللبناني]]/90)</f>
        <v>0</v>
      </c>
      <c r="M242" s="6"/>
    </row>
    <row r="243" spans="8:13" s="8" customFormat="1" x14ac:dyDescent="0.3">
      <c r="H243" s="2" t="s">
        <v>144</v>
      </c>
      <c r="I243" s="21"/>
      <c r="J243" s="13"/>
      <c r="L243" s="26">
        <f>Table1345678101112131415161718192021222324252627[[#This Row],[الدولار]]+(Table1345678101112131415161718192021222324252627[[#This Row],[اللبناني]]/90)</f>
        <v>0</v>
      </c>
      <c r="M243" s="6"/>
    </row>
    <row r="244" spans="8:13" s="8" customFormat="1" x14ac:dyDescent="0.3">
      <c r="H244" s="2" t="s">
        <v>144</v>
      </c>
      <c r="I244" s="21"/>
      <c r="J244" s="13"/>
      <c r="L244" s="26">
        <f>Table1345678101112131415161718192021222324252627[[#This Row],[الدولار]]+(Table1345678101112131415161718192021222324252627[[#This Row],[اللبناني]]/90)</f>
        <v>0</v>
      </c>
      <c r="M244" s="6"/>
    </row>
    <row r="245" spans="8:13" s="8" customFormat="1" x14ac:dyDescent="0.3">
      <c r="H245" s="2" t="s">
        <v>144</v>
      </c>
      <c r="I245" s="21"/>
      <c r="J245" s="13"/>
      <c r="L245" s="26">
        <f>Table1345678101112131415161718192021222324252627[[#This Row],[الدولار]]+(Table1345678101112131415161718192021222324252627[[#This Row],[اللبناني]]/90)</f>
        <v>0</v>
      </c>
      <c r="M245" s="6"/>
    </row>
    <row r="246" spans="8:13" s="8" customFormat="1" x14ac:dyDescent="0.3">
      <c r="H246" s="2" t="s">
        <v>144</v>
      </c>
      <c r="I246" s="21"/>
      <c r="J246" s="13"/>
      <c r="L246" s="26">
        <f>Table1345678101112131415161718192021222324252627[[#This Row],[الدولار]]+(Table1345678101112131415161718192021222324252627[[#This Row],[اللبناني]]/90)</f>
        <v>0</v>
      </c>
      <c r="M246" s="6"/>
    </row>
    <row r="247" spans="8:13" s="8" customFormat="1" x14ac:dyDescent="0.3">
      <c r="H247" s="2" t="s">
        <v>144</v>
      </c>
      <c r="I247" s="21"/>
      <c r="J247" s="13"/>
      <c r="L247" s="26">
        <f>Table1345678101112131415161718192021222324252627[[#This Row],[الدولار]]+(Table1345678101112131415161718192021222324252627[[#This Row],[اللبناني]]/90)</f>
        <v>0</v>
      </c>
      <c r="M247" s="6"/>
    </row>
    <row r="248" spans="8:13" s="8" customFormat="1" x14ac:dyDescent="0.3">
      <c r="H248" s="2" t="s">
        <v>144</v>
      </c>
      <c r="I248" s="21"/>
      <c r="J248" s="13"/>
      <c r="L248" s="26">
        <f>Table1345678101112131415161718192021222324252627[[#This Row],[الدولار]]+(Table1345678101112131415161718192021222324252627[[#This Row],[اللبناني]]/90)</f>
        <v>0</v>
      </c>
      <c r="M248" s="6"/>
    </row>
    <row r="249" spans="8:13" s="8" customFormat="1" x14ac:dyDescent="0.3">
      <c r="H249" s="2" t="s">
        <v>144</v>
      </c>
      <c r="I249" s="21"/>
      <c r="J249" s="13"/>
      <c r="L249" s="26">
        <f>Table1345678101112131415161718192021222324252627[[#This Row],[الدولار]]+(Table1345678101112131415161718192021222324252627[[#This Row],[اللبناني]]/90)</f>
        <v>0</v>
      </c>
      <c r="M249" s="6"/>
    </row>
    <row r="250" spans="8:13" s="8" customFormat="1" x14ac:dyDescent="0.3">
      <c r="H250" s="2" t="s">
        <v>144</v>
      </c>
      <c r="I250" s="21"/>
      <c r="J250" s="13"/>
      <c r="L250" s="26">
        <f>Table1345678101112131415161718192021222324252627[[#This Row],[الدولار]]+(Table1345678101112131415161718192021222324252627[[#This Row],[اللبناني]]/90)</f>
        <v>0</v>
      </c>
      <c r="M250" s="6"/>
    </row>
    <row r="251" spans="8:13" s="8" customFormat="1" x14ac:dyDescent="0.3">
      <c r="H251" s="2" t="s">
        <v>144</v>
      </c>
      <c r="I251" s="21"/>
      <c r="J251" s="13"/>
      <c r="L251" s="26">
        <f>Table1345678101112131415161718192021222324252627[[#This Row],[الدولار]]+(Table1345678101112131415161718192021222324252627[[#This Row],[اللبناني]]/90)</f>
        <v>0</v>
      </c>
      <c r="M251" s="6"/>
    </row>
    <row r="252" spans="8:13" s="8" customFormat="1" x14ac:dyDescent="0.3">
      <c r="H252" s="2" t="s">
        <v>144</v>
      </c>
      <c r="I252" s="21"/>
      <c r="J252" s="13"/>
      <c r="L252" s="26">
        <f>Table1345678101112131415161718192021222324252627[[#This Row],[الدولار]]+(Table1345678101112131415161718192021222324252627[[#This Row],[اللبناني]]/90)</f>
        <v>0</v>
      </c>
      <c r="M252" s="6"/>
    </row>
    <row r="253" spans="8:13" s="8" customFormat="1" x14ac:dyDescent="0.3">
      <c r="H253" s="2" t="s">
        <v>144</v>
      </c>
      <c r="I253" s="21"/>
      <c r="J253" s="13"/>
      <c r="L253" s="26">
        <f>Table1345678101112131415161718192021222324252627[[#This Row],[الدولار]]+(Table1345678101112131415161718192021222324252627[[#This Row],[اللبناني]]/90)</f>
        <v>0</v>
      </c>
      <c r="M253" s="6"/>
    </row>
    <row r="254" spans="8:13" s="8" customFormat="1" x14ac:dyDescent="0.3">
      <c r="H254" s="2" t="s">
        <v>144</v>
      </c>
      <c r="I254" s="21"/>
      <c r="J254" s="13"/>
      <c r="L254" s="26">
        <f>Table1345678101112131415161718192021222324252627[[#This Row],[الدولار]]+(Table1345678101112131415161718192021222324252627[[#This Row],[اللبناني]]/90)</f>
        <v>0</v>
      </c>
      <c r="M254" s="6"/>
    </row>
    <row r="255" spans="8:13" s="8" customFormat="1" x14ac:dyDescent="0.3">
      <c r="H255" s="2" t="s">
        <v>144</v>
      </c>
      <c r="I255" s="21"/>
      <c r="J255" s="13"/>
      <c r="L255" s="26">
        <f>Table1345678101112131415161718192021222324252627[[#This Row],[الدولار]]+(Table1345678101112131415161718192021222324252627[[#This Row],[اللبناني]]/90)</f>
        <v>0</v>
      </c>
      <c r="M255" s="6"/>
    </row>
    <row r="256" spans="8:13" s="8" customFormat="1" x14ac:dyDescent="0.3">
      <c r="H256" s="2" t="s">
        <v>144</v>
      </c>
      <c r="I256" s="21"/>
      <c r="J256" s="13"/>
      <c r="L256" s="26">
        <f>Table1345678101112131415161718192021222324252627[[#This Row],[الدولار]]+(Table1345678101112131415161718192021222324252627[[#This Row],[اللبناني]]/90)</f>
        <v>0</v>
      </c>
      <c r="M256" s="6"/>
    </row>
    <row r="257" spans="8:13" s="8" customFormat="1" x14ac:dyDescent="0.3">
      <c r="H257" s="2" t="s">
        <v>144</v>
      </c>
      <c r="I257" s="21"/>
      <c r="J257" s="13"/>
      <c r="L257" s="26">
        <f>Table1345678101112131415161718192021222324252627[[#This Row],[الدولار]]+(Table1345678101112131415161718192021222324252627[[#This Row],[اللبناني]]/90)</f>
        <v>0</v>
      </c>
      <c r="M257" s="6"/>
    </row>
    <row r="258" spans="8:13" s="8" customFormat="1" x14ac:dyDescent="0.3">
      <c r="H258" s="2" t="s">
        <v>144</v>
      </c>
      <c r="I258" s="21"/>
      <c r="J258" s="13"/>
      <c r="L258" s="26">
        <f>Table1345678101112131415161718192021222324252627[[#This Row],[الدولار]]+(Table1345678101112131415161718192021222324252627[[#This Row],[اللبناني]]/90)</f>
        <v>0</v>
      </c>
      <c r="M258" s="6"/>
    </row>
    <row r="259" spans="8:13" s="8" customFormat="1" x14ac:dyDescent="0.3">
      <c r="H259" s="2" t="s">
        <v>144</v>
      </c>
      <c r="I259" s="21"/>
      <c r="J259" s="13"/>
      <c r="L259" s="26">
        <f>Table1345678101112131415161718192021222324252627[[#This Row],[الدولار]]+(Table1345678101112131415161718192021222324252627[[#This Row],[اللبناني]]/90)</f>
        <v>0</v>
      </c>
      <c r="M259" s="6"/>
    </row>
    <row r="260" spans="8:13" s="8" customFormat="1" x14ac:dyDescent="0.3">
      <c r="H260" s="2" t="s">
        <v>144</v>
      </c>
      <c r="I260" s="21"/>
      <c r="J260" s="13"/>
      <c r="L260" s="26">
        <f>Table1345678101112131415161718192021222324252627[[#This Row],[الدولار]]+(Table1345678101112131415161718192021222324252627[[#This Row],[اللبناني]]/90)</f>
        <v>0</v>
      </c>
      <c r="M260" s="6"/>
    </row>
    <row r="261" spans="8:13" s="8" customFormat="1" x14ac:dyDescent="0.3">
      <c r="H261" s="2" t="s">
        <v>144</v>
      </c>
      <c r="I261" s="21"/>
      <c r="J261" s="13"/>
      <c r="L261" s="26">
        <f>Table1345678101112131415161718192021222324252627[[#This Row],[الدولار]]+(Table1345678101112131415161718192021222324252627[[#This Row],[اللبناني]]/90)</f>
        <v>0</v>
      </c>
      <c r="M261" s="6"/>
    </row>
    <row r="262" spans="8:13" s="8" customFormat="1" x14ac:dyDescent="0.3">
      <c r="H262" s="2" t="s">
        <v>144</v>
      </c>
      <c r="I262" s="21"/>
      <c r="J262" s="13"/>
      <c r="L262" s="26">
        <f>Table1345678101112131415161718192021222324252627[[#This Row],[الدولار]]+(Table1345678101112131415161718192021222324252627[[#This Row],[اللبناني]]/90)</f>
        <v>0</v>
      </c>
      <c r="M262" s="6"/>
    </row>
    <row r="263" spans="8:13" s="8" customFormat="1" x14ac:dyDescent="0.3">
      <c r="H263" s="2" t="s">
        <v>144</v>
      </c>
      <c r="I263" s="21"/>
      <c r="J263" s="13"/>
      <c r="L263" s="26">
        <f>Table1345678101112131415161718192021222324252627[[#This Row],[الدولار]]+(Table1345678101112131415161718192021222324252627[[#This Row],[اللبناني]]/90)</f>
        <v>0</v>
      </c>
      <c r="M263" s="6"/>
    </row>
    <row r="264" spans="8:13" s="8" customFormat="1" x14ac:dyDescent="0.3">
      <c r="H264" s="2" t="s">
        <v>144</v>
      </c>
      <c r="I264" s="21"/>
      <c r="J264" s="13"/>
      <c r="L264" s="26">
        <f>Table1345678101112131415161718192021222324252627[[#This Row],[الدولار]]+(Table1345678101112131415161718192021222324252627[[#This Row],[اللبناني]]/90)</f>
        <v>0</v>
      </c>
      <c r="M264" s="6"/>
    </row>
    <row r="265" spans="8:13" s="8" customFormat="1" x14ac:dyDescent="0.3">
      <c r="H265" s="2" t="s">
        <v>144</v>
      </c>
      <c r="I265" s="21"/>
      <c r="J265" s="13"/>
      <c r="L265" s="26">
        <f>Table1345678101112131415161718192021222324252627[[#This Row],[الدولار]]+(Table1345678101112131415161718192021222324252627[[#This Row],[اللبناني]]/90)</f>
        <v>0</v>
      </c>
      <c r="M265" s="6"/>
    </row>
    <row r="266" spans="8:13" s="8" customFormat="1" x14ac:dyDescent="0.3">
      <c r="H266" s="2" t="s">
        <v>144</v>
      </c>
      <c r="I266" s="21"/>
      <c r="J266" s="13"/>
      <c r="L266" s="26">
        <f>Table1345678101112131415161718192021222324252627[[#This Row],[الدولار]]+(Table1345678101112131415161718192021222324252627[[#This Row],[اللبناني]]/90)</f>
        <v>0</v>
      </c>
      <c r="M266" s="6"/>
    </row>
    <row r="267" spans="8:13" s="8" customFormat="1" x14ac:dyDescent="0.3">
      <c r="H267" s="2" t="s">
        <v>144</v>
      </c>
      <c r="I267" s="21"/>
      <c r="J267" s="13"/>
      <c r="L267" s="26">
        <f>Table1345678101112131415161718192021222324252627[[#This Row],[الدولار]]+(Table1345678101112131415161718192021222324252627[[#This Row],[اللبناني]]/90)</f>
        <v>0</v>
      </c>
      <c r="M267" s="6"/>
    </row>
    <row r="268" spans="8:13" s="8" customFormat="1" x14ac:dyDescent="0.3">
      <c r="H268" s="2" t="s">
        <v>144</v>
      </c>
      <c r="I268" s="21"/>
      <c r="J268" s="13"/>
      <c r="L268" s="26">
        <f>Table1345678101112131415161718192021222324252627[[#This Row],[الدولار]]+(Table1345678101112131415161718192021222324252627[[#This Row],[اللبناني]]/90)</f>
        <v>0</v>
      </c>
      <c r="M268" s="6"/>
    </row>
    <row r="269" spans="8:13" s="8" customFormat="1" x14ac:dyDescent="0.3">
      <c r="H269" s="2" t="s">
        <v>144</v>
      </c>
      <c r="I269" s="21"/>
      <c r="J269" s="13"/>
      <c r="L269" s="26">
        <f>Table1345678101112131415161718192021222324252627[[#This Row],[الدولار]]+(Table1345678101112131415161718192021222324252627[[#This Row],[اللبناني]]/90)</f>
        <v>0</v>
      </c>
      <c r="M269" s="6"/>
    </row>
    <row r="270" spans="8:13" s="8" customFormat="1" x14ac:dyDescent="0.3">
      <c r="H270" s="2" t="s">
        <v>144</v>
      </c>
      <c r="I270" s="21"/>
      <c r="J270" s="13"/>
      <c r="L270" s="26">
        <f>Table1345678101112131415161718192021222324252627[[#This Row],[الدولار]]+(Table1345678101112131415161718192021222324252627[[#This Row],[اللبناني]]/90)</f>
        <v>0</v>
      </c>
      <c r="M270" s="6"/>
    </row>
    <row r="271" spans="8:13" s="8" customFormat="1" x14ac:dyDescent="0.3">
      <c r="H271" s="2" t="s">
        <v>144</v>
      </c>
      <c r="I271" s="21"/>
      <c r="J271" s="13"/>
      <c r="L271" s="26">
        <f>Table1345678101112131415161718192021222324252627[[#This Row],[الدولار]]+(Table1345678101112131415161718192021222324252627[[#This Row],[اللبناني]]/90)</f>
        <v>0</v>
      </c>
      <c r="M271" s="6"/>
    </row>
    <row r="272" spans="8:13" s="8" customFormat="1" x14ac:dyDescent="0.3">
      <c r="H272" s="2" t="s">
        <v>144</v>
      </c>
      <c r="I272" s="21"/>
      <c r="J272" s="13"/>
      <c r="L272" s="26">
        <f>Table1345678101112131415161718192021222324252627[[#This Row],[الدولار]]+(Table1345678101112131415161718192021222324252627[[#This Row],[اللبناني]]/90)</f>
        <v>0</v>
      </c>
      <c r="M272" s="6"/>
    </row>
    <row r="273" spans="8:13" s="8" customFormat="1" x14ac:dyDescent="0.3">
      <c r="H273" s="2" t="s">
        <v>144</v>
      </c>
      <c r="I273" s="21"/>
      <c r="J273" s="13"/>
      <c r="L273" s="26">
        <f>Table1345678101112131415161718192021222324252627[[#This Row],[الدولار]]+(Table1345678101112131415161718192021222324252627[[#This Row],[اللبناني]]/90)</f>
        <v>0</v>
      </c>
      <c r="M273" s="6"/>
    </row>
    <row r="274" spans="8:13" s="8" customFormat="1" x14ac:dyDescent="0.3">
      <c r="H274" s="2" t="s">
        <v>144</v>
      </c>
      <c r="I274" s="21"/>
      <c r="J274" s="13"/>
      <c r="L274" s="26">
        <f>Table1345678101112131415161718192021222324252627[[#This Row],[الدولار]]+(Table1345678101112131415161718192021222324252627[[#This Row],[اللبناني]]/90)</f>
        <v>0</v>
      </c>
      <c r="M274" s="6"/>
    </row>
    <row r="275" spans="8:13" s="8" customFormat="1" x14ac:dyDescent="0.3">
      <c r="H275" s="2" t="s">
        <v>144</v>
      </c>
      <c r="I275" s="21"/>
      <c r="J275" s="13"/>
      <c r="L275" s="26">
        <f>Table1345678101112131415161718192021222324252627[[#This Row],[الدولار]]+(Table1345678101112131415161718192021222324252627[[#This Row],[اللبناني]]/90)</f>
        <v>0</v>
      </c>
      <c r="M275" s="6"/>
    </row>
    <row r="276" spans="8:13" s="8" customFormat="1" x14ac:dyDescent="0.3">
      <c r="H276" s="2" t="s">
        <v>144</v>
      </c>
      <c r="I276" s="21"/>
      <c r="J276" s="13"/>
      <c r="L276" s="26">
        <f>Table1345678101112131415161718192021222324252627[[#This Row],[الدولار]]+(Table1345678101112131415161718192021222324252627[[#This Row],[اللبناني]]/90)</f>
        <v>0</v>
      </c>
      <c r="M276" s="6"/>
    </row>
    <row r="277" spans="8:13" s="8" customFormat="1" x14ac:dyDescent="0.3">
      <c r="H277" s="2" t="s">
        <v>144</v>
      </c>
      <c r="I277" s="21"/>
      <c r="J277" s="13"/>
      <c r="L277" s="26">
        <f>Table1345678101112131415161718192021222324252627[[#This Row],[الدولار]]+(Table1345678101112131415161718192021222324252627[[#This Row],[اللبناني]]/90)</f>
        <v>0</v>
      </c>
      <c r="M277" s="6"/>
    </row>
    <row r="278" spans="8:13" s="8" customFormat="1" x14ac:dyDescent="0.3">
      <c r="H278" s="2" t="s">
        <v>144</v>
      </c>
      <c r="I278" s="21"/>
      <c r="J278" s="13"/>
      <c r="L278" s="26">
        <f>Table1345678101112131415161718192021222324252627[[#This Row],[الدولار]]+(Table1345678101112131415161718192021222324252627[[#This Row],[اللبناني]]/90)</f>
        <v>0</v>
      </c>
      <c r="M278" s="6"/>
    </row>
    <row r="279" spans="8:13" s="8" customFormat="1" x14ac:dyDescent="0.3">
      <c r="H279" s="2" t="s">
        <v>144</v>
      </c>
      <c r="I279" s="21"/>
      <c r="J279" s="13"/>
      <c r="L279" s="26">
        <f>Table1345678101112131415161718192021222324252627[[#This Row],[الدولار]]+(Table1345678101112131415161718192021222324252627[[#This Row],[اللبناني]]/90)</f>
        <v>0</v>
      </c>
      <c r="M279" s="6"/>
    </row>
    <row r="280" spans="8:13" s="8" customFormat="1" x14ac:dyDescent="0.3">
      <c r="H280" s="2" t="s">
        <v>144</v>
      </c>
      <c r="I280" s="21"/>
      <c r="J280" s="13"/>
      <c r="L280" s="26">
        <f>Table1345678101112131415161718192021222324252627[[#This Row],[الدولار]]+(Table1345678101112131415161718192021222324252627[[#This Row],[اللبناني]]/90)</f>
        <v>0</v>
      </c>
      <c r="M280" s="6"/>
    </row>
    <row r="281" spans="8:13" s="8" customFormat="1" x14ac:dyDescent="0.3">
      <c r="H281" s="2" t="s">
        <v>144</v>
      </c>
      <c r="I281" s="21"/>
      <c r="J281" s="13"/>
      <c r="L281" s="26">
        <f>Table1345678101112131415161718192021222324252627[[#This Row],[الدولار]]+(Table1345678101112131415161718192021222324252627[[#This Row],[اللبناني]]/90)</f>
        <v>0</v>
      </c>
      <c r="M281" s="6"/>
    </row>
    <row r="282" spans="8:13" s="8" customFormat="1" x14ac:dyDescent="0.3">
      <c r="H282" s="2" t="s">
        <v>144</v>
      </c>
      <c r="I282" s="21"/>
      <c r="J282" s="13"/>
      <c r="L282" s="26">
        <f>Table1345678101112131415161718192021222324252627[[#This Row],[الدولار]]+(Table1345678101112131415161718192021222324252627[[#This Row],[اللبناني]]/90)</f>
        <v>0</v>
      </c>
      <c r="M282" s="6"/>
    </row>
    <row r="283" spans="8:13" s="8" customFormat="1" x14ac:dyDescent="0.3">
      <c r="H283" s="2" t="s">
        <v>144</v>
      </c>
      <c r="I283" s="21"/>
      <c r="J283" s="13"/>
      <c r="L283" s="26">
        <f>Table1345678101112131415161718192021222324252627[[#This Row],[الدولار]]+(Table1345678101112131415161718192021222324252627[[#This Row],[اللبناني]]/90)</f>
        <v>0</v>
      </c>
      <c r="M283" s="6"/>
    </row>
    <row r="284" spans="8:13" s="8" customFormat="1" x14ac:dyDescent="0.3">
      <c r="H284" s="2" t="s">
        <v>144</v>
      </c>
      <c r="I284" s="21"/>
      <c r="J284" s="13"/>
      <c r="L284" s="26">
        <f>Table1345678101112131415161718192021222324252627[[#This Row],[الدولار]]+(Table1345678101112131415161718192021222324252627[[#This Row],[اللبناني]]/90)</f>
        <v>0</v>
      </c>
      <c r="M284" s="6"/>
    </row>
    <row r="285" spans="8:13" s="8" customFormat="1" x14ac:dyDescent="0.3">
      <c r="H285" s="2" t="s">
        <v>144</v>
      </c>
      <c r="I285" s="21"/>
      <c r="J285" s="13"/>
      <c r="L285" s="26">
        <f>Table1345678101112131415161718192021222324252627[[#This Row],[الدولار]]+(Table1345678101112131415161718192021222324252627[[#This Row],[اللبناني]]/90)</f>
        <v>0</v>
      </c>
      <c r="M285" s="6"/>
    </row>
    <row r="286" spans="8:13" s="8" customFormat="1" x14ac:dyDescent="0.3">
      <c r="H286" s="2" t="s">
        <v>144</v>
      </c>
      <c r="I286" s="21"/>
      <c r="J286" s="13"/>
      <c r="L286" s="26">
        <f>Table1345678101112131415161718192021222324252627[[#This Row],[الدولار]]+(Table1345678101112131415161718192021222324252627[[#This Row],[اللبناني]]/90)</f>
        <v>0</v>
      </c>
      <c r="M286" s="6"/>
    </row>
    <row r="287" spans="8:13" s="8" customFormat="1" x14ac:dyDescent="0.3">
      <c r="H287" s="2" t="s">
        <v>144</v>
      </c>
      <c r="I287" s="21"/>
      <c r="J287" s="13"/>
      <c r="L287" s="26">
        <f>Table1345678101112131415161718192021222324252627[[#This Row],[الدولار]]+(Table1345678101112131415161718192021222324252627[[#This Row],[اللبناني]]/90)</f>
        <v>0</v>
      </c>
      <c r="M287" s="6"/>
    </row>
    <row r="288" spans="8:13" s="8" customFormat="1" x14ac:dyDescent="0.3">
      <c r="H288" s="2" t="s">
        <v>144</v>
      </c>
      <c r="I288" s="21"/>
      <c r="J288" s="13"/>
      <c r="L288" s="26">
        <f>Table1345678101112131415161718192021222324252627[[#This Row],[الدولار]]+(Table1345678101112131415161718192021222324252627[[#This Row],[اللبناني]]/90)</f>
        <v>0</v>
      </c>
      <c r="M288" s="6"/>
    </row>
    <row r="289" spans="8:13" s="8" customFormat="1" x14ac:dyDescent="0.3">
      <c r="H289" s="2" t="s">
        <v>144</v>
      </c>
      <c r="I289" s="21"/>
      <c r="J289" s="13"/>
      <c r="L289" s="26">
        <f>Table1345678101112131415161718192021222324252627[[#This Row],[الدولار]]+(Table1345678101112131415161718192021222324252627[[#This Row],[اللبناني]]/90)</f>
        <v>0</v>
      </c>
      <c r="M289" s="6"/>
    </row>
    <row r="290" spans="8:13" s="8" customFormat="1" x14ac:dyDescent="0.3">
      <c r="H290" s="2" t="s">
        <v>144</v>
      </c>
      <c r="I290" s="21"/>
      <c r="J290" s="13"/>
      <c r="L290" s="26">
        <f>Table1345678101112131415161718192021222324252627[[#This Row],[الدولار]]+(Table1345678101112131415161718192021222324252627[[#This Row],[اللبناني]]/90)</f>
        <v>0</v>
      </c>
      <c r="M290" s="6"/>
    </row>
    <row r="291" spans="8:13" s="8" customFormat="1" x14ac:dyDescent="0.3">
      <c r="H291" s="2" t="s">
        <v>144</v>
      </c>
      <c r="I291" s="21"/>
      <c r="J291" s="13"/>
      <c r="L291" s="26">
        <f>Table1345678101112131415161718192021222324252627[[#This Row],[الدولار]]+(Table1345678101112131415161718192021222324252627[[#This Row],[اللبناني]]/90)</f>
        <v>0</v>
      </c>
      <c r="M291" s="6"/>
    </row>
    <row r="292" spans="8:13" s="8" customFormat="1" x14ac:dyDescent="0.3">
      <c r="H292" s="2" t="s">
        <v>144</v>
      </c>
      <c r="I292" s="21"/>
      <c r="J292" s="13"/>
      <c r="L292" s="26">
        <f>Table1345678101112131415161718192021222324252627[[#This Row],[الدولار]]+(Table1345678101112131415161718192021222324252627[[#This Row],[اللبناني]]/90)</f>
        <v>0</v>
      </c>
      <c r="M292" s="6"/>
    </row>
    <row r="293" spans="8:13" s="8" customFormat="1" x14ac:dyDescent="0.3">
      <c r="H293" s="2" t="s">
        <v>144</v>
      </c>
      <c r="I293" s="21"/>
      <c r="J293" s="13"/>
      <c r="L293" s="26">
        <f>Table1345678101112131415161718192021222324252627[[#This Row],[الدولار]]+(Table1345678101112131415161718192021222324252627[[#This Row],[اللبناني]]/90)</f>
        <v>0</v>
      </c>
      <c r="M293" s="6"/>
    </row>
    <row r="294" spans="8:13" s="8" customFormat="1" x14ac:dyDescent="0.3">
      <c r="H294" s="2" t="s">
        <v>144</v>
      </c>
      <c r="I294" s="21"/>
      <c r="J294" s="13"/>
      <c r="L294" s="26">
        <f>Table1345678101112131415161718192021222324252627[[#This Row],[الدولار]]+(Table1345678101112131415161718192021222324252627[[#This Row],[اللبناني]]/90)</f>
        <v>0</v>
      </c>
      <c r="M294" s="6"/>
    </row>
    <row r="295" spans="8:13" s="8" customFormat="1" x14ac:dyDescent="0.3">
      <c r="H295" s="2" t="s">
        <v>144</v>
      </c>
      <c r="I295" s="21"/>
      <c r="J295" s="13"/>
      <c r="L295" s="26">
        <f>Table1345678101112131415161718192021222324252627[[#This Row],[الدولار]]+(Table1345678101112131415161718192021222324252627[[#This Row],[اللبناني]]/90)</f>
        <v>0</v>
      </c>
      <c r="M295" s="6"/>
    </row>
    <row r="296" spans="8:13" s="8" customFormat="1" x14ac:dyDescent="0.3">
      <c r="H296" s="2" t="s">
        <v>144</v>
      </c>
      <c r="I296" s="21"/>
      <c r="J296" s="13"/>
      <c r="L296" s="26">
        <f>Table1345678101112131415161718192021222324252627[[#This Row],[الدولار]]+(Table1345678101112131415161718192021222324252627[[#This Row],[اللبناني]]/90)</f>
        <v>0</v>
      </c>
      <c r="M296" s="6"/>
    </row>
    <row r="297" spans="8:13" s="8" customFormat="1" x14ac:dyDescent="0.3">
      <c r="H297" s="2" t="s">
        <v>144</v>
      </c>
      <c r="I297" s="21"/>
      <c r="J297" s="13"/>
      <c r="L297" s="26">
        <f>Table1345678101112131415161718192021222324252627[[#This Row],[الدولار]]+(Table1345678101112131415161718192021222324252627[[#This Row],[اللبناني]]/90)</f>
        <v>0</v>
      </c>
      <c r="M297" s="6"/>
    </row>
    <row r="298" spans="8:13" s="8" customFormat="1" x14ac:dyDescent="0.3">
      <c r="H298" s="2" t="s">
        <v>144</v>
      </c>
      <c r="I298" s="21"/>
      <c r="J298" s="13"/>
      <c r="L298" s="26">
        <f>Table1345678101112131415161718192021222324252627[[#This Row],[الدولار]]+(Table1345678101112131415161718192021222324252627[[#This Row],[اللبناني]]/90)</f>
        <v>0</v>
      </c>
      <c r="M298" s="6"/>
    </row>
    <row r="299" spans="8:13" s="8" customFormat="1" x14ac:dyDescent="0.3">
      <c r="H299" s="2" t="s">
        <v>144</v>
      </c>
      <c r="I299" s="21"/>
      <c r="J299" s="13"/>
      <c r="L299" s="26">
        <f>Table1345678101112131415161718192021222324252627[[#This Row],[الدولار]]+(Table1345678101112131415161718192021222324252627[[#This Row],[اللبناني]]/90)</f>
        <v>0</v>
      </c>
      <c r="M299" s="6"/>
    </row>
    <row r="300" spans="8:13" s="8" customFormat="1" x14ac:dyDescent="0.3">
      <c r="H300" s="2" t="s">
        <v>144</v>
      </c>
      <c r="I300" s="21"/>
      <c r="J300" s="13"/>
      <c r="L300" s="26">
        <f>Table1345678101112131415161718192021222324252627[[#This Row],[الدولار]]+(Table1345678101112131415161718192021222324252627[[#This Row],[اللبناني]]/90)</f>
        <v>0</v>
      </c>
      <c r="M300" s="6"/>
    </row>
    <row r="301" spans="8:13" s="8" customFormat="1" x14ac:dyDescent="0.3">
      <c r="H301" s="2" t="s">
        <v>144</v>
      </c>
      <c r="I301" s="21"/>
      <c r="J301" s="13"/>
      <c r="L301" s="26">
        <f>Table1345678101112131415161718192021222324252627[[#This Row],[الدولار]]+(Table1345678101112131415161718192021222324252627[[#This Row],[اللبناني]]/90)</f>
        <v>0</v>
      </c>
      <c r="M301" s="6"/>
    </row>
    <row r="302" spans="8:13" s="8" customFormat="1" x14ac:dyDescent="0.3">
      <c r="H302" s="2" t="s">
        <v>144</v>
      </c>
      <c r="I302" s="21"/>
      <c r="J302" s="13"/>
      <c r="L302" s="26">
        <f>Table1345678101112131415161718192021222324252627[[#This Row],[الدولار]]+(Table1345678101112131415161718192021222324252627[[#This Row],[اللبناني]]/90)</f>
        <v>0</v>
      </c>
      <c r="M302" s="6"/>
    </row>
    <row r="303" spans="8:13" s="8" customFormat="1" x14ac:dyDescent="0.3">
      <c r="H303" s="2" t="s">
        <v>144</v>
      </c>
      <c r="I303" s="21"/>
      <c r="J303" s="13"/>
      <c r="L303" s="26">
        <f>Table1345678101112131415161718192021222324252627[[#This Row],[الدولار]]+(Table1345678101112131415161718192021222324252627[[#This Row],[اللبناني]]/90)</f>
        <v>0</v>
      </c>
      <c r="M303" s="6"/>
    </row>
    <row r="304" spans="8:13" s="8" customFormat="1" x14ac:dyDescent="0.3">
      <c r="H304" s="2" t="s">
        <v>144</v>
      </c>
      <c r="I304" s="21"/>
      <c r="J304" s="13"/>
      <c r="L304" s="26">
        <f>Table1345678101112131415161718192021222324252627[[#This Row],[الدولار]]+(Table1345678101112131415161718192021222324252627[[#This Row],[اللبناني]]/90)</f>
        <v>0</v>
      </c>
      <c r="M304" s="6"/>
    </row>
    <row r="305" spans="8:13" s="8" customFormat="1" x14ac:dyDescent="0.3">
      <c r="H305" s="2" t="s">
        <v>144</v>
      </c>
      <c r="I305" s="21"/>
      <c r="J305" s="13"/>
      <c r="L305" s="26">
        <f>Table1345678101112131415161718192021222324252627[[#This Row],[الدولار]]+(Table1345678101112131415161718192021222324252627[[#This Row],[اللبناني]]/90)</f>
        <v>0</v>
      </c>
      <c r="M305" s="6"/>
    </row>
    <row r="306" spans="8:13" s="8" customFormat="1" x14ac:dyDescent="0.3">
      <c r="H306" s="2" t="s">
        <v>144</v>
      </c>
      <c r="I306" s="21"/>
      <c r="J306" s="13"/>
      <c r="L306" s="26">
        <f>Table1345678101112131415161718192021222324252627[[#This Row],[الدولار]]+(Table1345678101112131415161718192021222324252627[[#This Row],[اللبناني]]/90)</f>
        <v>0</v>
      </c>
      <c r="M306" s="6"/>
    </row>
    <row r="307" spans="8:13" s="8" customFormat="1" x14ac:dyDescent="0.3">
      <c r="H307" s="2" t="s">
        <v>144</v>
      </c>
      <c r="I307" s="21"/>
      <c r="J307" s="13"/>
      <c r="L307" s="26">
        <f>Table1345678101112131415161718192021222324252627[[#This Row],[الدولار]]+(Table1345678101112131415161718192021222324252627[[#This Row],[اللبناني]]/90)</f>
        <v>0</v>
      </c>
      <c r="M307" s="6"/>
    </row>
    <row r="308" spans="8:13" s="8" customFormat="1" x14ac:dyDescent="0.3">
      <c r="H308" s="2" t="s">
        <v>144</v>
      </c>
      <c r="I308" s="21"/>
      <c r="J308" s="13"/>
      <c r="L308" s="26">
        <f>Table1345678101112131415161718192021222324252627[[#This Row],[الدولار]]+(Table1345678101112131415161718192021222324252627[[#This Row],[اللبناني]]/90)</f>
        <v>0</v>
      </c>
      <c r="M308" s="6"/>
    </row>
    <row r="309" spans="8:13" s="8" customFormat="1" x14ac:dyDescent="0.3">
      <c r="H309" s="2" t="s">
        <v>144</v>
      </c>
      <c r="I309" s="21"/>
      <c r="J309" s="13"/>
      <c r="L309" s="26">
        <f>Table1345678101112131415161718192021222324252627[[#This Row],[الدولار]]+(Table1345678101112131415161718192021222324252627[[#This Row],[اللبناني]]/90)</f>
        <v>0</v>
      </c>
      <c r="M309" s="6"/>
    </row>
    <row r="310" spans="8:13" s="8" customFormat="1" x14ac:dyDescent="0.3">
      <c r="H310" s="2" t="s">
        <v>144</v>
      </c>
      <c r="I310" s="21"/>
      <c r="J310" s="13"/>
      <c r="L310" s="26">
        <f>Table1345678101112131415161718192021222324252627[[#This Row],[الدولار]]+(Table1345678101112131415161718192021222324252627[[#This Row],[اللبناني]]/90)</f>
        <v>0</v>
      </c>
      <c r="M310" s="6"/>
    </row>
    <row r="311" spans="8:13" s="8" customFormat="1" x14ac:dyDescent="0.3">
      <c r="H311" s="2" t="s">
        <v>144</v>
      </c>
      <c r="I311" s="21"/>
      <c r="J311" s="13"/>
      <c r="L311" s="26">
        <f>Table1345678101112131415161718192021222324252627[[#This Row],[الدولار]]+(Table1345678101112131415161718192021222324252627[[#This Row],[اللبناني]]/90)</f>
        <v>0</v>
      </c>
      <c r="M311" s="6"/>
    </row>
    <row r="312" spans="8:13" s="8" customFormat="1" x14ac:dyDescent="0.3">
      <c r="H312" s="2" t="s">
        <v>144</v>
      </c>
      <c r="I312" s="21"/>
      <c r="J312" s="13"/>
      <c r="L312" s="26">
        <f>Table1345678101112131415161718192021222324252627[[#This Row],[الدولار]]+(Table1345678101112131415161718192021222324252627[[#This Row],[اللبناني]]/90)</f>
        <v>0</v>
      </c>
      <c r="M312" s="6"/>
    </row>
    <row r="313" spans="8:13" s="8" customFormat="1" x14ac:dyDescent="0.3">
      <c r="H313" s="2" t="s">
        <v>144</v>
      </c>
      <c r="I313" s="21"/>
      <c r="J313" s="13"/>
      <c r="L313" s="26">
        <f>Table1345678101112131415161718192021222324252627[[#This Row],[الدولار]]+(Table1345678101112131415161718192021222324252627[[#This Row],[اللبناني]]/90)</f>
        <v>0</v>
      </c>
      <c r="M313" s="6"/>
    </row>
    <row r="314" spans="8:13" s="8" customFormat="1" x14ac:dyDescent="0.3">
      <c r="H314" s="2" t="s">
        <v>144</v>
      </c>
      <c r="I314" s="21"/>
      <c r="J314" s="13"/>
      <c r="L314" s="26">
        <f>Table1345678101112131415161718192021222324252627[[#This Row],[الدولار]]+(Table1345678101112131415161718192021222324252627[[#This Row],[اللبناني]]/90)</f>
        <v>0</v>
      </c>
      <c r="M314" s="6"/>
    </row>
    <row r="315" spans="8:13" s="8" customFormat="1" x14ac:dyDescent="0.3">
      <c r="H315" s="2" t="s">
        <v>144</v>
      </c>
      <c r="I315" s="21"/>
      <c r="J315" s="13"/>
      <c r="L315" s="26">
        <f>Table1345678101112131415161718192021222324252627[[#This Row],[الدولار]]+(Table1345678101112131415161718192021222324252627[[#This Row],[اللبناني]]/90)</f>
        <v>0</v>
      </c>
      <c r="M315" s="6"/>
    </row>
    <row r="316" spans="8:13" s="8" customFormat="1" x14ac:dyDescent="0.3">
      <c r="H316" s="2" t="s">
        <v>144</v>
      </c>
      <c r="I316" s="21"/>
      <c r="J316" s="13"/>
      <c r="L316" s="26">
        <f>Table1345678101112131415161718192021222324252627[[#This Row],[الدولار]]+(Table1345678101112131415161718192021222324252627[[#This Row],[اللبناني]]/90)</f>
        <v>0</v>
      </c>
      <c r="M316" s="6"/>
    </row>
    <row r="317" spans="8:13" s="8" customFormat="1" x14ac:dyDescent="0.3">
      <c r="H317" s="2" t="s">
        <v>144</v>
      </c>
      <c r="I317" s="21"/>
      <c r="J317" s="13"/>
      <c r="L317" s="26">
        <f>Table1345678101112131415161718192021222324252627[[#This Row],[الدولار]]+(Table1345678101112131415161718192021222324252627[[#This Row],[اللبناني]]/90)</f>
        <v>0</v>
      </c>
      <c r="M317" s="6"/>
    </row>
    <row r="318" spans="8:13" s="8" customFormat="1" x14ac:dyDescent="0.3">
      <c r="H318" s="2" t="s">
        <v>144</v>
      </c>
      <c r="I318" s="21"/>
      <c r="J318" s="13"/>
      <c r="L318" s="26">
        <f>Table1345678101112131415161718192021222324252627[[#This Row],[الدولار]]+(Table1345678101112131415161718192021222324252627[[#This Row],[اللبناني]]/90)</f>
        <v>0</v>
      </c>
      <c r="M318" s="6"/>
    </row>
    <row r="319" spans="8:13" s="8" customFormat="1" x14ac:dyDescent="0.3">
      <c r="H319" s="2" t="s">
        <v>144</v>
      </c>
      <c r="I319" s="21"/>
      <c r="J319" s="13"/>
      <c r="L319" s="26">
        <f>Table1345678101112131415161718192021222324252627[[#This Row],[الدولار]]+(Table1345678101112131415161718192021222324252627[[#This Row],[اللبناني]]/90)</f>
        <v>0</v>
      </c>
      <c r="M319" s="6"/>
    </row>
    <row r="320" spans="8:13" s="8" customFormat="1" x14ac:dyDescent="0.3">
      <c r="H320" s="2" t="s">
        <v>144</v>
      </c>
      <c r="I320" s="21"/>
      <c r="J320" s="13"/>
      <c r="L320" s="26">
        <f>Table1345678101112131415161718192021222324252627[[#This Row],[الدولار]]+(Table1345678101112131415161718192021222324252627[[#This Row],[اللبناني]]/90)</f>
        <v>0</v>
      </c>
      <c r="M320" s="6"/>
    </row>
    <row r="321" spans="8:13" s="8" customFormat="1" x14ac:dyDescent="0.3">
      <c r="H321" s="2" t="s">
        <v>144</v>
      </c>
      <c r="I321" s="21"/>
      <c r="J321" s="13"/>
      <c r="L321" s="26">
        <f>Table1345678101112131415161718192021222324252627[[#This Row],[الدولار]]+(Table1345678101112131415161718192021222324252627[[#This Row],[اللبناني]]/90)</f>
        <v>0</v>
      </c>
      <c r="M321" s="6"/>
    </row>
    <row r="322" spans="8:13" s="8" customFormat="1" x14ac:dyDescent="0.3">
      <c r="H322" s="2" t="s">
        <v>144</v>
      </c>
      <c r="I322" s="21"/>
      <c r="J322" s="13"/>
      <c r="L322" s="26">
        <f>Table1345678101112131415161718192021222324252627[[#This Row],[الدولار]]+(Table1345678101112131415161718192021222324252627[[#This Row],[اللبناني]]/90)</f>
        <v>0</v>
      </c>
      <c r="M322" s="6"/>
    </row>
    <row r="323" spans="8:13" s="8" customFormat="1" x14ac:dyDescent="0.3">
      <c r="H323" s="2" t="s">
        <v>144</v>
      </c>
      <c r="I323" s="21"/>
      <c r="J323" s="13"/>
      <c r="L323" s="26">
        <f>Table1345678101112131415161718192021222324252627[[#This Row],[الدولار]]+(Table1345678101112131415161718192021222324252627[[#This Row],[اللبناني]]/90)</f>
        <v>0</v>
      </c>
      <c r="M323" s="6"/>
    </row>
    <row r="324" spans="8:13" s="8" customFormat="1" x14ac:dyDescent="0.3">
      <c r="H324" s="2" t="s">
        <v>144</v>
      </c>
      <c r="I324" s="21"/>
      <c r="J324" s="13"/>
      <c r="L324" s="26">
        <f>Table1345678101112131415161718192021222324252627[[#This Row],[الدولار]]+(Table1345678101112131415161718192021222324252627[[#This Row],[اللبناني]]/90)</f>
        <v>0</v>
      </c>
      <c r="M324" s="6"/>
    </row>
    <row r="325" spans="8:13" s="8" customFormat="1" x14ac:dyDescent="0.3">
      <c r="H325" s="2" t="s">
        <v>144</v>
      </c>
      <c r="I325" s="21"/>
      <c r="J325" s="13"/>
      <c r="L325" s="26">
        <f>Table1345678101112131415161718192021222324252627[[#This Row],[الدولار]]+(Table1345678101112131415161718192021222324252627[[#This Row],[اللبناني]]/90)</f>
        <v>0</v>
      </c>
      <c r="M325" s="6"/>
    </row>
    <row r="326" spans="8:13" s="8" customFormat="1" x14ac:dyDescent="0.3">
      <c r="H326" s="2" t="s">
        <v>144</v>
      </c>
      <c r="I326" s="21"/>
      <c r="J326" s="13"/>
      <c r="L326" s="26">
        <f>Table1345678101112131415161718192021222324252627[[#This Row],[الدولار]]+(Table1345678101112131415161718192021222324252627[[#This Row],[اللبناني]]/90)</f>
        <v>0</v>
      </c>
      <c r="M326" s="6"/>
    </row>
    <row r="327" spans="8:13" s="8" customFormat="1" x14ac:dyDescent="0.3">
      <c r="H327" s="2" t="s">
        <v>144</v>
      </c>
      <c r="I327" s="21"/>
      <c r="J327" s="13"/>
      <c r="L327" s="26">
        <f>Table1345678101112131415161718192021222324252627[[#This Row],[الدولار]]+(Table1345678101112131415161718192021222324252627[[#This Row],[اللبناني]]/90)</f>
        <v>0</v>
      </c>
      <c r="M327" s="6"/>
    </row>
    <row r="328" spans="8:13" s="8" customFormat="1" x14ac:dyDescent="0.3">
      <c r="H328" s="2" t="s">
        <v>144</v>
      </c>
      <c r="I328" s="21"/>
      <c r="J328" s="13"/>
      <c r="L328" s="26">
        <f>Table1345678101112131415161718192021222324252627[[#This Row],[الدولار]]+(Table1345678101112131415161718192021222324252627[[#This Row],[اللبناني]]/90)</f>
        <v>0</v>
      </c>
      <c r="M328" s="6"/>
    </row>
    <row r="329" spans="8:13" s="8" customFormat="1" x14ac:dyDescent="0.3">
      <c r="H329" s="2" t="s">
        <v>144</v>
      </c>
      <c r="I329" s="21"/>
      <c r="J329" s="13"/>
      <c r="L329" s="26">
        <f>Table1345678101112131415161718192021222324252627[[#This Row],[الدولار]]+(Table1345678101112131415161718192021222324252627[[#This Row],[اللبناني]]/90)</f>
        <v>0</v>
      </c>
      <c r="M329" s="6"/>
    </row>
    <row r="330" spans="8:13" s="8" customFormat="1" x14ac:dyDescent="0.3">
      <c r="H330" s="2" t="s">
        <v>144</v>
      </c>
      <c r="I330" s="21"/>
      <c r="J330" s="13"/>
      <c r="L330" s="26">
        <f>Table1345678101112131415161718192021222324252627[[#This Row],[الدولار]]+(Table1345678101112131415161718192021222324252627[[#This Row],[اللبناني]]/90)</f>
        <v>0</v>
      </c>
      <c r="M330" s="6"/>
    </row>
    <row r="331" spans="8:13" s="8" customFormat="1" x14ac:dyDescent="0.3">
      <c r="H331" s="2" t="s">
        <v>144</v>
      </c>
      <c r="I331" s="21"/>
      <c r="J331" s="13"/>
      <c r="L331" s="26">
        <f>Table1345678101112131415161718192021222324252627[[#This Row],[الدولار]]+(Table1345678101112131415161718192021222324252627[[#This Row],[اللبناني]]/90)</f>
        <v>0</v>
      </c>
      <c r="M331" s="6"/>
    </row>
    <row r="332" spans="8:13" s="8" customFormat="1" x14ac:dyDescent="0.3">
      <c r="H332" s="2" t="s">
        <v>144</v>
      </c>
      <c r="I332" s="21"/>
      <c r="J332" s="13"/>
      <c r="L332" s="26">
        <f>Table1345678101112131415161718192021222324252627[[#This Row],[الدولار]]+(Table1345678101112131415161718192021222324252627[[#This Row],[اللبناني]]/90)</f>
        <v>0</v>
      </c>
      <c r="M332" s="6"/>
    </row>
    <row r="333" spans="8:13" s="8" customFormat="1" x14ac:dyDescent="0.3">
      <c r="H333" s="2" t="s">
        <v>144</v>
      </c>
      <c r="I333" s="21"/>
      <c r="J333" s="13"/>
      <c r="L333" s="26">
        <f>Table1345678101112131415161718192021222324252627[[#This Row],[الدولار]]+(Table1345678101112131415161718192021222324252627[[#This Row],[اللبناني]]/90)</f>
        <v>0</v>
      </c>
      <c r="M333" s="6"/>
    </row>
    <row r="334" spans="8:13" s="8" customFormat="1" x14ac:dyDescent="0.3">
      <c r="H334" s="2" t="s">
        <v>144</v>
      </c>
      <c r="I334" s="21"/>
      <c r="J334" s="13"/>
      <c r="L334" s="26">
        <f>Table1345678101112131415161718192021222324252627[[#This Row],[الدولار]]+(Table1345678101112131415161718192021222324252627[[#This Row],[اللبناني]]/90)</f>
        <v>0</v>
      </c>
      <c r="M334" s="6"/>
    </row>
    <row r="335" spans="8:13" s="8" customFormat="1" x14ac:dyDescent="0.3">
      <c r="H335" s="2" t="s">
        <v>144</v>
      </c>
      <c r="I335" s="21"/>
      <c r="J335" s="13"/>
      <c r="L335" s="26">
        <f>Table1345678101112131415161718192021222324252627[[#This Row],[الدولار]]+(Table1345678101112131415161718192021222324252627[[#This Row],[اللبناني]]/90)</f>
        <v>0</v>
      </c>
      <c r="M335" s="6"/>
    </row>
    <row r="336" spans="8:13" s="8" customFormat="1" x14ac:dyDescent="0.3">
      <c r="H336" s="2" t="s">
        <v>144</v>
      </c>
      <c r="I336" s="21"/>
      <c r="J336" s="13"/>
      <c r="L336" s="26">
        <f>Table1345678101112131415161718192021222324252627[[#This Row],[الدولار]]+(Table1345678101112131415161718192021222324252627[[#This Row],[اللبناني]]/90)</f>
        <v>0</v>
      </c>
      <c r="M336" s="6"/>
    </row>
    <row r="337" spans="8:13" s="8" customFormat="1" x14ac:dyDescent="0.3">
      <c r="H337" s="2" t="s">
        <v>144</v>
      </c>
      <c r="I337" s="21"/>
      <c r="J337" s="13"/>
      <c r="L337" s="26">
        <f>Table1345678101112131415161718192021222324252627[[#This Row],[الدولار]]+(Table1345678101112131415161718192021222324252627[[#This Row],[اللبناني]]/90)</f>
        <v>0</v>
      </c>
      <c r="M337" s="6"/>
    </row>
    <row r="338" spans="8:13" s="8" customFormat="1" x14ac:dyDescent="0.3">
      <c r="H338" s="2" t="s">
        <v>144</v>
      </c>
      <c r="I338" s="21"/>
      <c r="J338" s="13"/>
      <c r="L338" s="26">
        <f>Table1345678101112131415161718192021222324252627[[#This Row],[الدولار]]+(Table1345678101112131415161718192021222324252627[[#This Row],[اللبناني]]/90)</f>
        <v>0</v>
      </c>
      <c r="M338" s="6"/>
    </row>
    <row r="339" spans="8:13" s="8" customFormat="1" x14ac:dyDescent="0.3">
      <c r="H339" s="2" t="s">
        <v>144</v>
      </c>
      <c r="I339" s="21"/>
      <c r="J339" s="13"/>
      <c r="L339" s="26">
        <f>Table1345678101112131415161718192021222324252627[[#This Row],[الدولار]]+(Table1345678101112131415161718192021222324252627[[#This Row],[اللبناني]]/90)</f>
        <v>0</v>
      </c>
      <c r="M339" s="6"/>
    </row>
    <row r="340" spans="8:13" s="8" customFormat="1" x14ac:dyDescent="0.3">
      <c r="H340" s="2" t="s">
        <v>144</v>
      </c>
      <c r="I340" s="21"/>
      <c r="J340" s="13"/>
      <c r="L340" s="26">
        <f>Table1345678101112131415161718192021222324252627[[#This Row],[الدولار]]+(Table1345678101112131415161718192021222324252627[[#This Row],[اللبناني]]/90)</f>
        <v>0</v>
      </c>
      <c r="M340" s="6"/>
    </row>
    <row r="341" spans="8:13" s="8" customFormat="1" x14ac:dyDescent="0.3">
      <c r="H341" s="2" t="s">
        <v>144</v>
      </c>
      <c r="I341" s="21"/>
      <c r="J341" s="13"/>
      <c r="L341" s="26">
        <f>Table1345678101112131415161718192021222324252627[[#This Row],[الدولار]]+(Table1345678101112131415161718192021222324252627[[#This Row],[اللبناني]]/90)</f>
        <v>0</v>
      </c>
      <c r="M341" s="6"/>
    </row>
    <row r="342" spans="8:13" s="8" customFormat="1" x14ac:dyDescent="0.3">
      <c r="H342" s="2" t="s">
        <v>144</v>
      </c>
      <c r="I342" s="21"/>
      <c r="J342" s="13"/>
      <c r="L342" s="26">
        <f>Table1345678101112131415161718192021222324252627[[#This Row],[الدولار]]+(Table1345678101112131415161718192021222324252627[[#This Row],[اللبناني]]/90)</f>
        <v>0</v>
      </c>
      <c r="M342" s="6"/>
    </row>
    <row r="343" spans="8:13" s="8" customFormat="1" x14ac:dyDescent="0.3">
      <c r="H343" s="2" t="s">
        <v>144</v>
      </c>
      <c r="I343" s="21"/>
      <c r="J343" s="13"/>
      <c r="L343" s="26">
        <f>Table1345678101112131415161718192021222324252627[[#This Row],[الدولار]]+(Table1345678101112131415161718192021222324252627[[#This Row],[اللبناني]]/90)</f>
        <v>0</v>
      </c>
      <c r="M343" s="6"/>
    </row>
    <row r="344" spans="8:13" s="8" customFormat="1" x14ac:dyDescent="0.3">
      <c r="H344" s="2" t="s">
        <v>144</v>
      </c>
      <c r="I344" s="21"/>
      <c r="J344" s="13"/>
      <c r="L344" s="26">
        <f>Table1345678101112131415161718192021222324252627[[#This Row],[الدولار]]+(Table1345678101112131415161718192021222324252627[[#This Row],[اللبناني]]/90)</f>
        <v>0</v>
      </c>
      <c r="M344" s="6"/>
    </row>
    <row r="345" spans="8:13" s="8" customFormat="1" x14ac:dyDescent="0.3">
      <c r="H345" s="2" t="s">
        <v>144</v>
      </c>
      <c r="I345" s="21"/>
      <c r="J345" s="13"/>
      <c r="L345" s="26">
        <f>Table1345678101112131415161718192021222324252627[[#This Row],[الدولار]]+(Table1345678101112131415161718192021222324252627[[#This Row],[اللبناني]]/90)</f>
        <v>0</v>
      </c>
      <c r="M345" s="6"/>
    </row>
    <row r="346" spans="8:13" s="8" customFormat="1" x14ac:dyDescent="0.3">
      <c r="H346" s="2" t="s">
        <v>144</v>
      </c>
      <c r="I346" s="21"/>
      <c r="J346" s="13"/>
      <c r="L346" s="26">
        <f>Table1345678101112131415161718192021222324252627[[#This Row],[الدولار]]+(Table1345678101112131415161718192021222324252627[[#This Row],[اللبناني]]/90)</f>
        <v>0</v>
      </c>
      <c r="M346" s="6"/>
    </row>
    <row r="347" spans="8:13" s="8" customFormat="1" x14ac:dyDescent="0.3">
      <c r="H347" s="2" t="s">
        <v>144</v>
      </c>
      <c r="I347" s="21"/>
      <c r="J347" s="13"/>
      <c r="L347" s="26">
        <f>Table1345678101112131415161718192021222324252627[[#This Row],[الدولار]]+(Table1345678101112131415161718192021222324252627[[#This Row],[اللبناني]]/90)</f>
        <v>0</v>
      </c>
      <c r="M347" s="6"/>
    </row>
    <row r="348" spans="8:13" s="8" customFormat="1" x14ac:dyDescent="0.3">
      <c r="H348" s="2" t="s">
        <v>144</v>
      </c>
      <c r="I348" s="21"/>
      <c r="J348" s="13"/>
      <c r="L348" s="26">
        <f>Table1345678101112131415161718192021222324252627[[#This Row],[الدولار]]+(Table1345678101112131415161718192021222324252627[[#This Row],[اللبناني]]/90)</f>
        <v>0</v>
      </c>
      <c r="M348" s="6"/>
    </row>
    <row r="349" spans="8:13" s="8" customFormat="1" x14ac:dyDescent="0.3">
      <c r="H349" s="2" t="s">
        <v>144</v>
      </c>
      <c r="I349" s="21"/>
      <c r="J349" s="13"/>
      <c r="L349" s="26">
        <f>Table1345678101112131415161718192021222324252627[[#This Row],[الدولار]]+(Table1345678101112131415161718192021222324252627[[#This Row],[اللبناني]]/90)</f>
        <v>0</v>
      </c>
      <c r="M349" s="6"/>
    </row>
    <row r="350" spans="8:13" s="8" customFormat="1" x14ac:dyDescent="0.3">
      <c r="H350" s="2" t="s">
        <v>144</v>
      </c>
      <c r="I350" s="21"/>
      <c r="J350" s="13"/>
      <c r="L350" s="26">
        <f>Table1345678101112131415161718192021222324252627[[#This Row],[الدولار]]+(Table1345678101112131415161718192021222324252627[[#This Row],[اللبناني]]/90)</f>
        <v>0</v>
      </c>
      <c r="M350" s="6"/>
    </row>
    <row r="351" spans="8:13" s="8" customFormat="1" x14ac:dyDescent="0.3">
      <c r="H351" s="2" t="s">
        <v>144</v>
      </c>
      <c r="I351" s="21"/>
      <c r="J351" s="13"/>
      <c r="L351" s="26">
        <f>Table1345678101112131415161718192021222324252627[[#This Row],[الدولار]]+(Table1345678101112131415161718192021222324252627[[#This Row],[اللبناني]]/90)</f>
        <v>0</v>
      </c>
      <c r="M351" s="6"/>
    </row>
    <row r="352" spans="8:13" s="8" customFormat="1" x14ac:dyDescent="0.3">
      <c r="H352" s="2" t="s">
        <v>144</v>
      </c>
      <c r="I352" s="21"/>
      <c r="J352" s="13"/>
      <c r="L352" s="26">
        <f>Table1345678101112131415161718192021222324252627[[#This Row],[الدولار]]+(Table1345678101112131415161718192021222324252627[[#This Row],[اللبناني]]/90)</f>
        <v>0</v>
      </c>
      <c r="M352" s="6"/>
    </row>
    <row r="353" spans="8:13" s="8" customFormat="1" x14ac:dyDescent="0.3">
      <c r="H353" s="2" t="s">
        <v>144</v>
      </c>
      <c r="I353" s="21"/>
      <c r="J353" s="13"/>
      <c r="L353" s="26">
        <f>Table1345678101112131415161718192021222324252627[[#This Row],[الدولار]]+(Table1345678101112131415161718192021222324252627[[#This Row],[اللبناني]]/90)</f>
        <v>0</v>
      </c>
      <c r="M353" s="6"/>
    </row>
    <row r="354" spans="8:13" s="8" customFormat="1" x14ac:dyDescent="0.3">
      <c r="H354" s="2" t="s">
        <v>144</v>
      </c>
      <c r="I354" s="21"/>
      <c r="J354" s="13"/>
      <c r="L354" s="26">
        <f>Table1345678101112131415161718192021222324252627[[#This Row],[الدولار]]+(Table1345678101112131415161718192021222324252627[[#This Row],[اللبناني]]/90)</f>
        <v>0</v>
      </c>
      <c r="M354" s="6"/>
    </row>
  </sheetData>
  <mergeCells count="6">
    <mergeCell ref="A13:F13"/>
    <mergeCell ref="N13:S13"/>
    <mergeCell ref="Q22:R22"/>
    <mergeCell ref="N23:O23"/>
    <mergeCell ref="D22:E22"/>
    <mergeCell ref="A23:B23"/>
  </mergeCells>
  <pageMargins left="0.25" right="0.25" top="0.75" bottom="0.75" header="0.3" footer="0.3"/>
  <pageSetup paperSize="9" scale="65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5118B-C2E9-4A81-9B0B-88E3AF9351C7}">
  <sheetPr>
    <pageSetUpPr fitToPage="1"/>
  </sheetPr>
  <dimension ref="A1:S354"/>
  <sheetViews>
    <sheetView rightToLeft="1" topLeftCell="A7" zoomScale="115" zoomScaleNormal="115" workbookViewId="0">
      <selection activeCell="E15" sqref="E15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8.44140625" style="2" bestFit="1" customWidth="1"/>
    <col min="4" max="4" width="10.44140625" style="2" customWidth="1"/>
    <col min="5" max="5" width="7" style="2" customWidth="1"/>
    <col min="6" max="6" width="10.88671875" style="2" bestFit="1" customWidth="1"/>
    <col min="7" max="7" width="2.44140625" style="2" customWidth="1"/>
    <col min="8" max="8" width="8.88671875" style="2" bestFit="1" customWidth="1"/>
    <col min="9" max="9" width="14.109375" style="21" bestFit="1" customWidth="1"/>
    <col min="10" max="10" width="12.109375" style="7" bestFit="1" customWidth="1"/>
    <col min="11" max="11" width="8.5546875" style="8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1.109375" style="2" bestFit="1" customWidth="1"/>
    <col min="20" max="16384" width="8.88671875" style="2"/>
  </cols>
  <sheetData>
    <row r="1" spans="1:19" x14ac:dyDescent="0.3">
      <c r="I1" s="21" t="s">
        <v>22</v>
      </c>
      <c r="J1" s="7">
        <f>SUM(J3:J11)</f>
        <v>0</v>
      </c>
      <c r="K1" s="7">
        <f>SUM(K3:K11)</f>
        <v>0</v>
      </c>
      <c r="L1" s="7">
        <f>SUM(L3:L11)</f>
        <v>0</v>
      </c>
    </row>
    <row r="2" spans="1:19" x14ac:dyDescent="0.3">
      <c r="H2" s="2" t="s">
        <v>136</v>
      </c>
      <c r="I2" s="22" t="s">
        <v>6</v>
      </c>
      <c r="J2" s="3" t="s">
        <v>5</v>
      </c>
      <c r="K2" s="9" t="s">
        <v>4</v>
      </c>
      <c r="L2" s="9" t="s">
        <v>125</v>
      </c>
    </row>
    <row r="3" spans="1:19" x14ac:dyDescent="0.3">
      <c r="H3" s="5" t="s">
        <v>144</v>
      </c>
      <c r="I3" s="23"/>
      <c r="J3" s="15"/>
      <c r="L3" s="26">
        <f t="shared" ref="L3:L11" si="0">K3+(J3/90)</f>
        <v>0</v>
      </c>
    </row>
    <row r="4" spans="1:19" x14ac:dyDescent="0.3">
      <c r="H4" s="5" t="s">
        <v>144</v>
      </c>
      <c r="I4" s="23"/>
      <c r="J4" s="15"/>
      <c r="L4" s="26">
        <f t="shared" si="0"/>
        <v>0</v>
      </c>
    </row>
    <row r="5" spans="1:19" x14ac:dyDescent="0.3">
      <c r="H5" s="5" t="s">
        <v>144</v>
      </c>
      <c r="I5" s="23"/>
      <c r="J5" s="15"/>
      <c r="L5" s="26">
        <f t="shared" si="0"/>
        <v>0</v>
      </c>
    </row>
    <row r="6" spans="1:19" x14ac:dyDescent="0.3">
      <c r="H6" s="5" t="s">
        <v>144</v>
      </c>
      <c r="I6" s="23"/>
      <c r="J6" s="15"/>
      <c r="L6" s="26">
        <f t="shared" si="0"/>
        <v>0</v>
      </c>
    </row>
    <row r="7" spans="1:19" x14ac:dyDescent="0.3">
      <c r="H7" s="5" t="s">
        <v>144</v>
      </c>
      <c r="I7" s="24"/>
      <c r="J7" s="15"/>
      <c r="L7" s="26">
        <f t="shared" si="0"/>
        <v>0</v>
      </c>
    </row>
    <row r="8" spans="1:19" x14ac:dyDescent="0.3">
      <c r="H8" s="5" t="s">
        <v>144</v>
      </c>
      <c r="I8" s="23"/>
      <c r="J8" s="15"/>
      <c r="L8" s="26">
        <f t="shared" si="0"/>
        <v>0</v>
      </c>
    </row>
    <row r="9" spans="1:19" x14ac:dyDescent="0.3">
      <c r="H9" s="2" t="s">
        <v>144</v>
      </c>
      <c r="I9" s="23"/>
      <c r="J9" s="15"/>
      <c r="L9" s="26">
        <f t="shared" si="0"/>
        <v>0</v>
      </c>
    </row>
    <row r="10" spans="1:19" x14ac:dyDescent="0.3">
      <c r="H10" s="2" t="s">
        <v>144</v>
      </c>
      <c r="I10" s="23"/>
      <c r="J10" s="15"/>
      <c r="L10" s="26">
        <f t="shared" si="0"/>
        <v>0</v>
      </c>
    </row>
    <row r="11" spans="1:19" x14ac:dyDescent="0.3">
      <c r="I11" s="23"/>
      <c r="J11" s="15"/>
      <c r="L11" s="26">
        <f t="shared" si="0"/>
        <v>0</v>
      </c>
    </row>
    <row r="12" spans="1:19" x14ac:dyDescent="0.3">
      <c r="A12" s="31" t="s">
        <v>225</v>
      </c>
    </row>
    <row r="13" spans="1:19" x14ac:dyDescent="0.3">
      <c r="A13" s="48" t="s">
        <v>19</v>
      </c>
      <c r="B13" s="48"/>
      <c r="C13" s="48"/>
      <c r="D13" s="48"/>
      <c r="E13" s="48"/>
      <c r="F13" s="48"/>
      <c r="I13" s="21" t="s">
        <v>22</v>
      </c>
      <c r="J13" s="7">
        <f>SUM(Table134567810111213141516171819202122232425262729[اللبناني])</f>
        <v>0</v>
      </c>
      <c r="K13" s="7">
        <f>SUM(Table134567810111213141516171819202122232425262729[الدولار])</f>
        <v>0</v>
      </c>
      <c r="L13" s="7">
        <f>SUM(Table134567810111213141516171819202122232425262729[مبيع $])</f>
        <v>0</v>
      </c>
      <c r="N13" s="48" t="s">
        <v>21</v>
      </c>
      <c r="O13" s="48"/>
      <c r="P13" s="48"/>
      <c r="Q13" s="48"/>
      <c r="R13" s="48"/>
      <c r="S13" s="48"/>
    </row>
    <row r="14" spans="1:19" x14ac:dyDescent="0.3">
      <c r="A14" s="1" t="s">
        <v>2</v>
      </c>
      <c r="B14" s="1" t="s">
        <v>0</v>
      </c>
      <c r="C14" s="1" t="s">
        <v>1</v>
      </c>
      <c r="D14" s="1" t="s">
        <v>3</v>
      </c>
      <c r="E14" s="1" t="s">
        <v>0</v>
      </c>
      <c r="F14" s="1" t="s">
        <v>1</v>
      </c>
      <c r="H14" s="2" t="s">
        <v>136</v>
      </c>
      <c r="I14" s="22" t="s">
        <v>6</v>
      </c>
      <c r="J14" s="3" t="s">
        <v>5</v>
      </c>
      <c r="K14" s="9" t="s">
        <v>4</v>
      </c>
      <c r="L14" s="9" t="s">
        <v>125</v>
      </c>
      <c r="M14" s="2"/>
      <c r="N14" s="1" t="s">
        <v>2</v>
      </c>
      <c r="O14" s="1" t="s">
        <v>0</v>
      </c>
      <c r="P14" s="1" t="s">
        <v>1</v>
      </c>
      <c r="Q14" s="1" t="s">
        <v>3</v>
      </c>
      <c r="R14" s="1" t="s">
        <v>0</v>
      </c>
      <c r="S14" s="1" t="s">
        <v>1</v>
      </c>
    </row>
    <row r="15" spans="1:19" x14ac:dyDescent="0.3">
      <c r="A15" s="11">
        <v>1</v>
      </c>
      <c r="C15" s="16">
        <f>A15*B15</f>
        <v>0</v>
      </c>
      <c r="D15" s="12">
        <v>5</v>
      </c>
      <c r="F15" s="18">
        <f>D15*E15</f>
        <v>0</v>
      </c>
      <c r="G15" s="5"/>
      <c r="H15" s="5" t="s">
        <v>144</v>
      </c>
      <c r="I15" s="23" t="s">
        <v>148</v>
      </c>
      <c r="J15" s="15"/>
      <c r="K15" s="8">
        <v>2000</v>
      </c>
      <c r="L15" s="26">
        <f>Table134567810111213141516171819202122232425262729[[#This Row],[الدولار]]+(Table134567810111213141516171819202122232425262729[[#This Row],[اللبناني]]/90)</f>
        <v>2000</v>
      </c>
      <c r="N15" s="11">
        <v>1</v>
      </c>
      <c r="P15" s="16">
        <f>N15*O15</f>
        <v>0</v>
      </c>
      <c r="Q15" s="12">
        <v>5</v>
      </c>
      <c r="S15" s="18">
        <f>Q15*R15</f>
        <v>0</v>
      </c>
    </row>
    <row r="16" spans="1:19" x14ac:dyDescent="0.3">
      <c r="A16" s="11">
        <v>5</v>
      </c>
      <c r="C16" s="16">
        <f t="shared" ref="C16:C20" si="1">A16*B16</f>
        <v>0</v>
      </c>
      <c r="D16" s="12">
        <v>10</v>
      </c>
      <c r="F16" s="18">
        <f t="shared" ref="F16:F19" si="2">D16*E16</f>
        <v>0</v>
      </c>
      <c r="G16" s="5"/>
      <c r="H16" s="5" t="s">
        <v>146</v>
      </c>
      <c r="I16" s="23" t="s">
        <v>148</v>
      </c>
      <c r="J16" s="15"/>
      <c r="K16" s="8">
        <v>-2000</v>
      </c>
      <c r="L16" s="26">
        <f>Table134567810111213141516171819202122232425262729[[#This Row],[الدولار]]+(Table134567810111213141516171819202122232425262729[[#This Row],[اللبناني]]/90)</f>
        <v>-2000</v>
      </c>
      <c r="N16" s="11">
        <v>5</v>
      </c>
      <c r="P16" s="16">
        <f t="shared" ref="P16:P20" si="3">N16*O16</f>
        <v>0</v>
      </c>
      <c r="Q16" s="12">
        <v>10</v>
      </c>
      <c r="S16" s="18">
        <f t="shared" ref="S16:S19" si="4">Q16*R16</f>
        <v>0</v>
      </c>
    </row>
    <row r="17" spans="1:19" x14ac:dyDescent="0.3">
      <c r="A17" s="11">
        <v>10</v>
      </c>
      <c r="C17" s="16">
        <f t="shared" si="1"/>
        <v>0</v>
      </c>
      <c r="D17" s="12">
        <v>20</v>
      </c>
      <c r="F17" s="18">
        <f t="shared" si="2"/>
        <v>0</v>
      </c>
      <c r="G17" s="5"/>
      <c r="H17" s="5" t="s">
        <v>144</v>
      </c>
      <c r="I17" s="23"/>
      <c r="J17" s="15"/>
      <c r="L17" s="26">
        <f>Table134567810111213141516171819202122232425262729[[#This Row],[الدولار]]+(Table134567810111213141516171819202122232425262729[[#This Row],[اللبناني]]/90)</f>
        <v>0</v>
      </c>
      <c r="N17" s="11">
        <v>10</v>
      </c>
      <c r="P17" s="16">
        <f t="shared" si="3"/>
        <v>0</v>
      </c>
      <c r="Q17" s="12">
        <v>20</v>
      </c>
      <c r="S17" s="18">
        <f t="shared" si="4"/>
        <v>0</v>
      </c>
    </row>
    <row r="18" spans="1:19" x14ac:dyDescent="0.3">
      <c r="A18" s="11">
        <v>20</v>
      </c>
      <c r="C18" s="16">
        <f t="shared" si="1"/>
        <v>0</v>
      </c>
      <c r="D18" s="12">
        <v>50</v>
      </c>
      <c r="F18" s="18">
        <f t="shared" si="2"/>
        <v>0</v>
      </c>
      <c r="G18" s="5"/>
      <c r="H18" s="5" t="s">
        <v>144</v>
      </c>
      <c r="I18" s="23"/>
      <c r="J18" s="15"/>
      <c r="L18" s="26">
        <f>Table134567810111213141516171819202122232425262729[[#This Row],[الدولار]]+(Table134567810111213141516171819202122232425262729[[#This Row],[اللبناني]]/90)</f>
        <v>0</v>
      </c>
      <c r="N18" s="11">
        <v>20</v>
      </c>
      <c r="P18" s="16">
        <f t="shared" si="3"/>
        <v>0</v>
      </c>
      <c r="Q18" s="12">
        <v>50</v>
      </c>
      <c r="S18" s="18">
        <f t="shared" si="4"/>
        <v>0</v>
      </c>
    </row>
    <row r="19" spans="1:19" x14ac:dyDescent="0.3">
      <c r="A19" s="11">
        <v>50</v>
      </c>
      <c r="C19" s="16">
        <f t="shared" si="1"/>
        <v>0</v>
      </c>
      <c r="D19" s="12">
        <v>100</v>
      </c>
      <c r="F19" s="18">
        <f t="shared" si="2"/>
        <v>0</v>
      </c>
      <c r="G19" s="5"/>
      <c r="H19" s="5" t="s">
        <v>144</v>
      </c>
      <c r="I19" s="24"/>
      <c r="J19" s="15"/>
      <c r="L19" s="26">
        <f>Table134567810111213141516171819202122232425262729[[#This Row],[الدولار]]+(Table134567810111213141516171819202122232425262729[[#This Row],[اللبناني]]/90)</f>
        <v>0</v>
      </c>
      <c r="N19" s="11">
        <v>50</v>
      </c>
      <c r="P19" s="16">
        <f t="shared" si="3"/>
        <v>0</v>
      </c>
      <c r="Q19" s="12">
        <v>100</v>
      </c>
      <c r="S19" s="18">
        <f t="shared" si="4"/>
        <v>0</v>
      </c>
    </row>
    <row r="20" spans="1:19" x14ac:dyDescent="0.3">
      <c r="A20" s="11">
        <v>100</v>
      </c>
      <c r="C20" s="16">
        <f t="shared" si="1"/>
        <v>0</v>
      </c>
      <c r="D20" s="1" t="s">
        <v>1</v>
      </c>
      <c r="E20" s="1"/>
      <c r="F20" s="14">
        <f>SUM(F15:F19)</f>
        <v>0</v>
      </c>
      <c r="G20" s="5"/>
      <c r="H20" s="5" t="s">
        <v>144</v>
      </c>
      <c r="I20" s="23"/>
      <c r="J20" s="15"/>
      <c r="L20" s="26">
        <f>Table134567810111213141516171819202122232425262729[[#This Row],[الدولار]]+(Table134567810111213141516171819202122232425262729[[#This Row],[اللبناني]]/90)</f>
        <v>0</v>
      </c>
      <c r="N20" s="11">
        <v>100</v>
      </c>
      <c r="P20" s="16">
        <f t="shared" si="3"/>
        <v>0</v>
      </c>
      <c r="Q20" s="1" t="s">
        <v>1</v>
      </c>
      <c r="R20" s="1"/>
      <c r="S20" s="14">
        <f>SUM(S15:S19)</f>
        <v>0</v>
      </c>
    </row>
    <row r="21" spans="1:19" x14ac:dyDescent="0.3">
      <c r="A21" s="1" t="s">
        <v>1</v>
      </c>
      <c r="B21" s="1"/>
      <c r="C21" s="17">
        <f>SUM(C15:C20)</f>
        <v>0</v>
      </c>
      <c r="H21" s="5" t="s">
        <v>144</v>
      </c>
      <c r="I21" s="23"/>
      <c r="J21" s="15"/>
      <c r="L21" s="26">
        <f>Table134567810111213141516171819202122232425262729[[#This Row],[الدولار]]+(Table134567810111213141516171819202122232425262729[[#This Row],[اللبناني]]/90)</f>
        <v>0</v>
      </c>
      <c r="N21" s="1" t="s">
        <v>1</v>
      </c>
      <c r="O21" s="1"/>
      <c r="P21" s="17">
        <f>SUM(P15:P20)</f>
        <v>0</v>
      </c>
      <c r="S21" s="15"/>
    </row>
    <row r="22" spans="1:19" x14ac:dyDescent="0.3">
      <c r="C22" s="20"/>
      <c r="D22" s="47" t="s">
        <v>24</v>
      </c>
      <c r="E22" s="47"/>
      <c r="F22" s="19">
        <f ca="1">INDIRECT("'"&amp;$A$12&amp;"'!J13")+J1</f>
        <v>935</v>
      </c>
      <c r="H22" s="5" t="s">
        <v>144</v>
      </c>
      <c r="I22" s="23"/>
      <c r="J22" s="15"/>
      <c r="L22" s="26">
        <f>Table134567810111213141516171819202122232425262729[[#This Row],[الدولار]]+(Table134567810111213141516171819202122232425262729[[#This Row],[اللبناني]]/90)</f>
        <v>0</v>
      </c>
      <c r="P22" s="20"/>
      <c r="Q22" s="47" t="s">
        <v>24</v>
      </c>
      <c r="R22" s="47"/>
      <c r="S22" s="19">
        <f>SUM(Table134567810111213141516171819202122232425262729[اللبناني])</f>
        <v>0</v>
      </c>
    </row>
    <row r="23" spans="1:19" x14ac:dyDescent="0.3">
      <c r="A23" s="47" t="s">
        <v>23</v>
      </c>
      <c r="B23" s="47"/>
      <c r="C23" s="9">
        <f ca="1">INDIRECT("'"&amp;$A$12&amp;"'!K13")+K1</f>
        <v>1047</v>
      </c>
      <c r="F23" s="15"/>
      <c r="H23" s="5" t="s">
        <v>144</v>
      </c>
      <c r="I23" s="23"/>
      <c r="J23" s="15"/>
      <c r="L23" s="26">
        <f>Table134567810111213141516171819202122232425262729[[#This Row],[الدولار]]+(Table134567810111213141516171819202122232425262729[[#This Row],[اللبناني]]/90)</f>
        <v>0</v>
      </c>
      <c r="N23" s="47" t="s">
        <v>23</v>
      </c>
      <c r="O23" s="47"/>
      <c r="P23" s="9">
        <f>SUM(Table134567810111213141516171819202122232425262729[الدولار])</f>
        <v>0</v>
      </c>
      <c r="S23" s="15"/>
    </row>
    <row r="24" spans="1:19" x14ac:dyDescent="0.3">
      <c r="C24" s="20"/>
      <c r="D24" s="1" t="s">
        <v>17</v>
      </c>
      <c r="E24" s="1"/>
      <c r="F24" s="19">
        <f ca="1">F20-F22-INDIRECT("'"&amp;$A$12&amp;"'!f20")</f>
        <v>-1925</v>
      </c>
      <c r="H24" s="5" t="s">
        <v>144</v>
      </c>
      <c r="I24" s="23"/>
      <c r="J24" s="15"/>
      <c r="L24" s="26">
        <f>Table134567810111213141516171819202122232425262729[[#This Row],[الدولار]]+(Table134567810111213141516171819202122232425262729[[#This Row],[اللبناني]]/90)</f>
        <v>0</v>
      </c>
      <c r="P24" s="20"/>
      <c r="Q24" s="1" t="s">
        <v>17</v>
      </c>
      <c r="R24" s="1"/>
      <c r="S24" s="19">
        <f>S20-S22-F20</f>
        <v>0</v>
      </c>
    </row>
    <row r="25" spans="1:19" x14ac:dyDescent="0.3">
      <c r="A25" s="1" t="s">
        <v>17</v>
      </c>
      <c r="B25" s="1"/>
      <c r="C25" s="9">
        <f ca="1">C21-C23-INDIRECT("'"&amp;$A$12&amp;"'!c21")</f>
        <v>-2120</v>
      </c>
      <c r="H25" s="5" t="s">
        <v>144</v>
      </c>
      <c r="I25" s="23"/>
      <c r="J25" s="15"/>
      <c r="L25" s="26">
        <f>Table134567810111213141516171819202122232425262729[[#This Row],[الدولار]]+(Table134567810111213141516171819202122232425262729[[#This Row],[اللبناني]]/90)</f>
        <v>0</v>
      </c>
      <c r="N25" s="1" t="s">
        <v>17</v>
      </c>
      <c r="O25" s="1"/>
      <c r="P25" s="9">
        <f>P21-P23-C21</f>
        <v>0</v>
      </c>
    </row>
    <row r="26" spans="1:19" x14ac:dyDescent="0.3">
      <c r="C26" s="10"/>
      <c r="D26" s="10"/>
      <c r="F26" s="10"/>
      <c r="H26" s="5" t="s">
        <v>144</v>
      </c>
      <c r="I26" s="25"/>
      <c r="J26" s="13"/>
      <c r="L26" s="26">
        <f>Table134567810111213141516171819202122232425262729[[#This Row],[الدولار]]+(Table134567810111213141516171819202122232425262729[[#This Row],[اللبناني]]/90)</f>
        <v>0</v>
      </c>
    </row>
    <row r="27" spans="1:19" x14ac:dyDescent="0.3">
      <c r="C27" s="10"/>
      <c r="D27" s="10"/>
      <c r="F27" s="10"/>
      <c r="H27" s="5" t="s">
        <v>144</v>
      </c>
      <c r="I27" s="25"/>
      <c r="J27" s="13"/>
      <c r="L27" s="26">
        <f>Table134567810111213141516171819202122232425262729[[#This Row],[الدولار]]+(Table134567810111213141516171819202122232425262729[[#This Row],[اللبناني]]/90)</f>
        <v>0</v>
      </c>
    </row>
    <row r="28" spans="1:19" x14ac:dyDescent="0.3">
      <c r="C28" s="10"/>
      <c r="D28" s="10"/>
      <c r="F28" s="10"/>
      <c r="H28" s="5" t="s">
        <v>144</v>
      </c>
      <c r="I28" s="23"/>
      <c r="J28" s="13"/>
      <c r="L28" s="26">
        <f>Table134567810111213141516171819202122232425262729[[#This Row],[الدولار]]+(Table134567810111213141516171819202122232425262729[[#This Row],[اللبناني]]/90)</f>
        <v>0</v>
      </c>
    </row>
    <row r="29" spans="1:19" s="8" customFormat="1" x14ac:dyDescent="0.3">
      <c r="C29" s="10"/>
      <c r="D29" s="10"/>
      <c r="E29" s="2"/>
      <c r="F29" s="10"/>
      <c r="G29" s="2"/>
      <c r="H29" s="5" t="s">
        <v>144</v>
      </c>
      <c r="I29" s="25"/>
      <c r="J29" s="15"/>
      <c r="L29" s="26">
        <f>Table134567810111213141516171819202122232425262729[[#This Row],[الدولار]]+(Table134567810111213141516171819202122232425262729[[#This Row],[اللبناني]]/90)</f>
        <v>0</v>
      </c>
      <c r="M29" s="6"/>
    </row>
    <row r="30" spans="1:19" s="8" customFormat="1" x14ac:dyDescent="0.3">
      <c r="C30" s="10"/>
      <c r="D30" s="2"/>
      <c r="E30" s="2"/>
      <c r="F30" s="10"/>
      <c r="G30" s="2"/>
      <c r="H30" s="5" t="s">
        <v>144</v>
      </c>
      <c r="I30" s="25"/>
      <c r="J30" s="15"/>
      <c r="L30" s="26">
        <f>Table134567810111213141516171819202122232425262729[[#This Row],[الدولار]]+(Table134567810111213141516171819202122232425262729[[#This Row],[اللبناني]]/90)</f>
        <v>0</v>
      </c>
      <c r="M30" s="6"/>
    </row>
    <row r="31" spans="1:19" s="8" customFormat="1" x14ac:dyDescent="0.3">
      <c r="C31" s="10"/>
      <c r="D31" s="2"/>
      <c r="E31" s="2"/>
      <c r="F31" s="2"/>
      <c r="G31" s="2"/>
      <c r="H31" s="5" t="s">
        <v>144</v>
      </c>
      <c r="I31" s="25"/>
      <c r="J31" s="15"/>
      <c r="L31" s="26">
        <f>Table134567810111213141516171819202122232425262729[[#This Row],[الدولار]]+(Table134567810111213141516171819202122232425262729[[#This Row],[اللبناني]]/90)</f>
        <v>0</v>
      </c>
      <c r="M31" s="6"/>
    </row>
    <row r="32" spans="1:19" s="8" customFormat="1" x14ac:dyDescent="0.3">
      <c r="C32" s="2"/>
      <c r="D32" s="2"/>
      <c r="E32" s="2"/>
      <c r="F32" s="6"/>
      <c r="G32" s="2"/>
      <c r="H32" s="5" t="s">
        <v>144</v>
      </c>
      <c r="I32" s="23"/>
      <c r="J32" s="15"/>
      <c r="L32" s="26">
        <f>Table134567810111213141516171819202122232425262729[[#This Row],[الدولار]]+(Table134567810111213141516171819202122232425262729[[#This Row],[اللبناني]]/90)</f>
        <v>0</v>
      </c>
      <c r="M32" s="6"/>
    </row>
    <row r="33" spans="3:13" s="8" customFormat="1" x14ac:dyDescent="0.3">
      <c r="C33" s="6"/>
      <c r="D33" s="2"/>
      <c r="E33" s="2"/>
      <c r="F33" s="2"/>
      <c r="G33" s="2"/>
      <c r="H33" s="5" t="s">
        <v>144</v>
      </c>
      <c r="I33" s="23"/>
      <c r="J33" s="15"/>
      <c r="L33" s="26">
        <f>Table134567810111213141516171819202122232425262729[[#This Row],[الدولار]]+(Table134567810111213141516171819202122232425262729[[#This Row],[اللبناني]]/90)</f>
        <v>0</v>
      </c>
      <c r="M33" s="6"/>
    </row>
    <row r="34" spans="3:13" s="8" customFormat="1" x14ac:dyDescent="0.3">
      <c r="C34" s="2"/>
      <c r="D34" s="2"/>
      <c r="E34" s="2"/>
      <c r="F34" s="6"/>
      <c r="G34" s="2"/>
      <c r="H34" s="5" t="s">
        <v>144</v>
      </c>
      <c r="I34" s="23"/>
      <c r="J34" s="15"/>
      <c r="L34" s="26">
        <f>Table134567810111213141516171819202122232425262729[[#This Row],[الدولار]]+(Table134567810111213141516171819202122232425262729[[#This Row],[اللبناني]]/90)</f>
        <v>0</v>
      </c>
      <c r="M34" s="6"/>
    </row>
    <row r="35" spans="3:13" s="8" customFormat="1" x14ac:dyDescent="0.3">
      <c r="C35" s="6"/>
      <c r="D35" s="2"/>
      <c r="E35" s="2"/>
      <c r="F35" s="2"/>
      <c r="G35" s="2"/>
      <c r="H35" s="5" t="s">
        <v>144</v>
      </c>
      <c r="I35" s="23"/>
      <c r="J35" s="15"/>
      <c r="L35" s="26">
        <f>Table134567810111213141516171819202122232425262729[[#This Row],[الدولار]]+(Table134567810111213141516171819202122232425262729[[#This Row],[اللبناني]]/90)</f>
        <v>0</v>
      </c>
      <c r="M35" s="6"/>
    </row>
    <row r="36" spans="3:13" s="8" customFormat="1" x14ac:dyDescent="0.3">
      <c r="C36" s="2"/>
      <c r="D36" s="2"/>
      <c r="E36" s="2"/>
      <c r="F36" s="2"/>
      <c r="G36" s="2"/>
      <c r="H36" s="5" t="s">
        <v>144</v>
      </c>
      <c r="I36" s="23"/>
      <c r="J36" s="15"/>
      <c r="L36" s="26">
        <f>Table134567810111213141516171819202122232425262729[[#This Row],[الدولار]]+(Table134567810111213141516171819202122232425262729[[#This Row],[اللبناني]]/90)</f>
        <v>0</v>
      </c>
      <c r="M36" s="6"/>
    </row>
    <row r="37" spans="3:13" s="8" customFormat="1" x14ac:dyDescent="0.3">
      <c r="C37" s="2"/>
      <c r="D37" s="2"/>
      <c r="E37" s="2"/>
      <c r="F37" s="2"/>
      <c r="G37" s="2"/>
      <c r="H37" s="5" t="s">
        <v>144</v>
      </c>
      <c r="I37" s="23"/>
      <c r="J37" s="15"/>
      <c r="L37" s="26">
        <f>Table134567810111213141516171819202122232425262729[[#This Row],[الدولار]]+(Table134567810111213141516171819202122232425262729[[#This Row],[اللبناني]]/90)</f>
        <v>0</v>
      </c>
      <c r="M37" s="6"/>
    </row>
    <row r="38" spans="3:13" s="8" customFormat="1" x14ac:dyDescent="0.3">
      <c r="C38" s="2"/>
      <c r="D38" s="2"/>
      <c r="E38" s="2"/>
      <c r="F38" s="2"/>
      <c r="G38" s="2"/>
      <c r="H38" s="5" t="s">
        <v>144</v>
      </c>
      <c r="I38" s="23"/>
      <c r="J38" s="15"/>
      <c r="L38" s="26">
        <f>Table134567810111213141516171819202122232425262729[[#This Row],[الدولار]]+(Table134567810111213141516171819202122232425262729[[#This Row],[اللبناني]]/90)</f>
        <v>0</v>
      </c>
      <c r="M38" s="6"/>
    </row>
    <row r="39" spans="3:13" s="8" customFormat="1" x14ac:dyDescent="0.3">
      <c r="C39" s="2"/>
      <c r="D39" s="2"/>
      <c r="E39" s="2"/>
      <c r="F39" s="2"/>
      <c r="G39" s="2"/>
      <c r="H39" s="5" t="s">
        <v>144</v>
      </c>
      <c r="I39" s="23"/>
      <c r="J39" s="13"/>
      <c r="L39" s="26">
        <f>Table134567810111213141516171819202122232425262729[[#This Row],[الدولار]]+(Table134567810111213141516171819202122232425262729[[#This Row],[اللبناني]]/90)</f>
        <v>0</v>
      </c>
      <c r="M39" s="6"/>
    </row>
    <row r="40" spans="3:13" s="8" customFormat="1" x14ac:dyDescent="0.3">
      <c r="C40" s="2"/>
      <c r="D40" s="2"/>
      <c r="E40" s="2"/>
      <c r="F40" s="2"/>
      <c r="G40" s="2"/>
      <c r="H40" s="5" t="s">
        <v>144</v>
      </c>
      <c r="I40" s="21"/>
      <c r="J40" s="13"/>
      <c r="L40" s="26">
        <f>Table134567810111213141516171819202122232425262729[[#This Row],[الدولار]]+(Table134567810111213141516171819202122232425262729[[#This Row],[اللبناني]]/90)</f>
        <v>0</v>
      </c>
      <c r="M40" s="6"/>
    </row>
    <row r="41" spans="3:13" s="8" customFormat="1" x14ac:dyDescent="0.3">
      <c r="C41" s="2"/>
      <c r="D41" s="2"/>
      <c r="E41" s="2"/>
      <c r="F41" s="2"/>
      <c r="G41" s="2"/>
      <c r="H41" s="5" t="s">
        <v>144</v>
      </c>
      <c r="I41" s="21"/>
      <c r="J41" s="13"/>
      <c r="L41" s="26">
        <f>Table134567810111213141516171819202122232425262729[[#This Row],[الدولار]]+(Table134567810111213141516171819202122232425262729[[#This Row],[اللبناني]]/90)</f>
        <v>0</v>
      </c>
      <c r="M41" s="6"/>
    </row>
    <row r="42" spans="3:13" s="8" customFormat="1" x14ac:dyDescent="0.3">
      <c r="C42" s="2"/>
      <c r="D42" s="2"/>
      <c r="E42" s="2"/>
      <c r="F42" s="2"/>
      <c r="G42" s="2"/>
      <c r="H42" s="5" t="s">
        <v>144</v>
      </c>
      <c r="I42" s="21"/>
      <c r="J42" s="13"/>
      <c r="L42" s="26">
        <f>Table134567810111213141516171819202122232425262729[[#This Row],[الدولار]]+(Table134567810111213141516171819202122232425262729[[#This Row],[اللبناني]]/90)</f>
        <v>0</v>
      </c>
      <c r="M42" s="6"/>
    </row>
    <row r="43" spans="3:13" s="8" customFormat="1" x14ac:dyDescent="0.3">
      <c r="C43" s="2"/>
      <c r="D43" s="2"/>
      <c r="E43" s="2"/>
      <c r="F43" s="2"/>
      <c r="G43" s="2"/>
      <c r="H43" s="5" t="s">
        <v>144</v>
      </c>
      <c r="I43" s="21"/>
      <c r="J43" s="13"/>
      <c r="L43" s="26">
        <f>Table134567810111213141516171819202122232425262729[[#This Row],[الدولار]]+(Table134567810111213141516171819202122232425262729[[#This Row],[اللبناني]]/90)</f>
        <v>0</v>
      </c>
      <c r="M43" s="6"/>
    </row>
    <row r="44" spans="3:13" s="8" customFormat="1" x14ac:dyDescent="0.3">
      <c r="C44" s="2"/>
      <c r="D44" s="2"/>
      <c r="E44" s="2"/>
      <c r="F44" s="2"/>
      <c r="G44" s="2"/>
      <c r="H44" s="5" t="s">
        <v>144</v>
      </c>
      <c r="I44" s="21"/>
      <c r="J44" s="13"/>
      <c r="L44" s="26">
        <f>Table134567810111213141516171819202122232425262729[[#This Row],[الدولار]]+(Table134567810111213141516171819202122232425262729[[#This Row],[اللبناني]]/90)</f>
        <v>0</v>
      </c>
      <c r="M44" s="6"/>
    </row>
    <row r="45" spans="3:13" s="8" customFormat="1" x14ac:dyDescent="0.3">
      <c r="H45" s="5" t="s">
        <v>144</v>
      </c>
      <c r="I45" s="21"/>
      <c r="J45" s="13"/>
      <c r="L45" s="26">
        <f>Table134567810111213141516171819202122232425262729[[#This Row],[الدولار]]+(Table134567810111213141516171819202122232425262729[[#This Row],[اللبناني]]/90)</f>
        <v>0</v>
      </c>
      <c r="M45" s="6"/>
    </row>
    <row r="46" spans="3:13" s="8" customFormat="1" x14ac:dyDescent="0.3">
      <c r="H46" s="5" t="s">
        <v>144</v>
      </c>
      <c r="I46" s="21"/>
      <c r="J46" s="13"/>
      <c r="L46" s="26">
        <f>Table134567810111213141516171819202122232425262729[[#This Row],[الدولار]]+(Table134567810111213141516171819202122232425262729[[#This Row],[اللبناني]]/90)</f>
        <v>0</v>
      </c>
      <c r="M46" s="6"/>
    </row>
    <row r="47" spans="3:13" s="8" customFormat="1" x14ac:dyDescent="0.3">
      <c r="H47" s="5" t="s">
        <v>144</v>
      </c>
      <c r="I47" s="21"/>
      <c r="J47" s="13"/>
      <c r="L47" s="26">
        <f>Table134567810111213141516171819202122232425262729[[#This Row],[الدولار]]+(Table134567810111213141516171819202122232425262729[[#This Row],[اللبناني]]/90)</f>
        <v>0</v>
      </c>
      <c r="M47" s="6"/>
    </row>
    <row r="48" spans="3:13" s="8" customFormat="1" x14ac:dyDescent="0.3">
      <c r="H48" s="5" t="s">
        <v>144</v>
      </c>
      <c r="I48" s="21"/>
      <c r="J48" s="13"/>
      <c r="L48" s="26">
        <f>Table134567810111213141516171819202122232425262729[[#This Row],[الدولار]]+(Table134567810111213141516171819202122232425262729[[#This Row],[اللبناني]]/90)</f>
        <v>0</v>
      </c>
      <c r="M48" s="6"/>
    </row>
    <row r="49" spans="8:13" s="8" customFormat="1" x14ac:dyDescent="0.3">
      <c r="H49" s="5" t="s">
        <v>144</v>
      </c>
      <c r="I49" s="21"/>
      <c r="J49" s="13"/>
      <c r="L49" s="26">
        <f>Table134567810111213141516171819202122232425262729[[#This Row],[الدولار]]+(Table134567810111213141516171819202122232425262729[[#This Row],[اللبناني]]/90)</f>
        <v>0</v>
      </c>
      <c r="M49" s="6"/>
    </row>
    <row r="50" spans="8:13" s="8" customFormat="1" x14ac:dyDescent="0.3">
      <c r="H50" s="5" t="s">
        <v>144</v>
      </c>
      <c r="I50" s="21"/>
      <c r="J50" s="13"/>
      <c r="L50" s="26">
        <f>Table134567810111213141516171819202122232425262729[[#This Row],[الدولار]]+(Table134567810111213141516171819202122232425262729[[#This Row],[اللبناني]]/90)</f>
        <v>0</v>
      </c>
      <c r="M50" s="6"/>
    </row>
    <row r="51" spans="8:13" s="8" customFormat="1" x14ac:dyDescent="0.3">
      <c r="H51" s="5" t="s">
        <v>144</v>
      </c>
      <c r="I51" s="21"/>
      <c r="J51" s="13"/>
      <c r="L51" s="26">
        <f>Table134567810111213141516171819202122232425262729[[#This Row],[الدولار]]+(Table134567810111213141516171819202122232425262729[[#This Row],[اللبناني]]/90)</f>
        <v>0</v>
      </c>
      <c r="M51" s="6"/>
    </row>
    <row r="52" spans="8:13" s="8" customFormat="1" x14ac:dyDescent="0.3">
      <c r="H52" s="5" t="s">
        <v>144</v>
      </c>
      <c r="I52" s="21"/>
      <c r="J52" s="13"/>
      <c r="L52" s="26">
        <f>Table134567810111213141516171819202122232425262729[[#This Row],[الدولار]]+(Table134567810111213141516171819202122232425262729[[#This Row],[اللبناني]]/90)</f>
        <v>0</v>
      </c>
      <c r="M52" s="6"/>
    </row>
    <row r="53" spans="8:13" s="8" customFormat="1" x14ac:dyDescent="0.3">
      <c r="H53" s="5" t="s">
        <v>144</v>
      </c>
      <c r="I53" s="21"/>
      <c r="J53" s="13"/>
      <c r="L53" s="26">
        <f>Table134567810111213141516171819202122232425262729[[#This Row],[الدولار]]+(Table134567810111213141516171819202122232425262729[[#This Row],[اللبناني]]/90)</f>
        <v>0</v>
      </c>
      <c r="M53" s="6"/>
    </row>
    <row r="54" spans="8:13" s="8" customFormat="1" x14ac:dyDescent="0.3">
      <c r="H54" s="5" t="s">
        <v>144</v>
      </c>
      <c r="I54" s="21"/>
      <c r="J54" s="13"/>
      <c r="L54" s="26">
        <f>Table134567810111213141516171819202122232425262729[[#This Row],[الدولار]]+(Table134567810111213141516171819202122232425262729[[#This Row],[اللبناني]]/90)</f>
        <v>0</v>
      </c>
      <c r="M54" s="6"/>
    </row>
    <row r="55" spans="8:13" s="8" customFormat="1" x14ac:dyDescent="0.3">
      <c r="H55" s="5" t="s">
        <v>144</v>
      </c>
      <c r="I55" s="21"/>
      <c r="J55" s="13"/>
      <c r="L55" s="26">
        <f>Table134567810111213141516171819202122232425262729[[#This Row],[الدولار]]+(Table134567810111213141516171819202122232425262729[[#This Row],[اللبناني]]/90)</f>
        <v>0</v>
      </c>
      <c r="M55" s="6"/>
    </row>
    <row r="56" spans="8:13" s="8" customFormat="1" x14ac:dyDescent="0.3">
      <c r="H56" s="5" t="s">
        <v>144</v>
      </c>
      <c r="I56" s="21"/>
      <c r="J56" s="13"/>
      <c r="L56" s="26">
        <f>Table134567810111213141516171819202122232425262729[[#This Row],[الدولار]]+(Table134567810111213141516171819202122232425262729[[#This Row],[اللبناني]]/90)</f>
        <v>0</v>
      </c>
      <c r="M56" s="6"/>
    </row>
    <row r="57" spans="8:13" s="8" customFormat="1" x14ac:dyDescent="0.3">
      <c r="H57" s="5" t="s">
        <v>144</v>
      </c>
      <c r="I57" s="21"/>
      <c r="J57" s="13"/>
      <c r="L57" s="26">
        <f>Table134567810111213141516171819202122232425262729[[#This Row],[الدولار]]+(Table134567810111213141516171819202122232425262729[[#This Row],[اللبناني]]/90)</f>
        <v>0</v>
      </c>
      <c r="M57" s="6"/>
    </row>
    <row r="58" spans="8:13" s="8" customFormat="1" x14ac:dyDescent="0.3">
      <c r="H58" s="5" t="s">
        <v>144</v>
      </c>
      <c r="I58" s="21"/>
      <c r="J58" s="13"/>
      <c r="L58" s="26">
        <f>Table134567810111213141516171819202122232425262729[[#This Row],[الدولار]]+(Table134567810111213141516171819202122232425262729[[#This Row],[اللبناني]]/90)</f>
        <v>0</v>
      </c>
      <c r="M58" s="6"/>
    </row>
    <row r="59" spans="8:13" s="8" customFormat="1" x14ac:dyDescent="0.3">
      <c r="H59" s="5" t="s">
        <v>144</v>
      </c>
      <c r="I59" s="21"/>
      <c r="J59" s="13"/>
      <c r="L59" s="26">
        <f>Table134567810111213141516171819202122232425262729[[#This Row],[الدولار]]+(Table134567810111213141516171819202122232425262729[[#This Row],[اللبناني]]/90)</f>
        <v>0</v>
      </c>
      <c r="M59" s="6"/>
    </row>
    <row r="60" spans="8:13" s="8" customFormat="1" x14ac:dyDescent="0.3">
      <c r="H60" s="5" t="s">
        <v>144</v>
      </c>
      <c r="I60" s="21"/>
      <c r="J60" s="13"/>
      <c r="L60" s="26">
        <f>Table134567810111213141516171819202122232425262729[[#This Row],[الدولار]]+(Table134567810111213141516171819202122232425262729[[#This Row],[اللبناني]]/90)</f>
        <v>0</v>
      </c>
      <c r="M60" s="6"/>
    </row>
    <row r="61" spans="8:13" s="8" customFormat="1" x14ac:dyDescent="0.3">
      <c r="H61" s="5" t="s">
        <v>144</v>
      </c>
      <c r="I61" s="21"/>
      <c r="J61" s="13"/>
      <c r="L61" s="26">
        <f>Table134567810111213141516171819202122232425262729[[#This Row],[الدولار]]+(Table134567810111213141516171819202122232425262729[[#This Row],[اللبناني]]/90)</f>
        <v>0</v>
      </c>
      <c r="M61" s="6"/>
    </row>
    <row r="62" spans="8:13" s="8" customFormat="1" x14ac:dyDescent="0.3">
      <c r="H62" s="5" t="s">
        <v>144</v>
      </c>
      <c r="I62" s="21"/>
      <c r="J62" s="13"/>
      <c r="L62" s="26">
        <f>Table134567810111213141516171819202122232425262729[[#This Row],[الدولار]]+(Table134567810111213141516171819202122232425262729[[#This Row],[اللبناني]]/90)</f>
        <v>0</v>
      </c>
      <c r="M62" s="6"/>
    </row>
    <row r="63" spans="8:13" s="8" customFormat="1" x14ac:dyDescent="0.3">
      <c r="H63" s="5" t="s">
        <v>144</v>
      </c>
      <c r="I63" s="21"/>
      <c r="J63" s="13"/>
      <c r="L63" s="26">
        <f>Table134567810111213141516171819202122232425262729[[#This Row],[الدولار]]+(Table134567810111213141516171819202122232425262729[[#This Row],[اللبناني]]/90)</f>
        <v>0</v>
      </c>
      <c r="M63" s="6"/>
    </row>
    <row r="64" spans="8:13" s="8" customFormat="1" x14ac:dyDescent="0.3">
      <c r="H64" s="5" t="s">
        <v>144</v>
      </c>
      <c r="I64" s="21"/>
      <c r="J64" s="13"/>
      <c r="L64" s="26">
        <f>Table134567810111213141516171819202122232425262729[[#This Row],[الدولار]]+(Table134567810111213141516171819202122232425262729[[#This Row],[اللبناني]]/90)</f>
        <v>0</v>
      </c>
      <c r="M64" s="6"/>
    </row>
    <row r="65" spans="8:13" s="8" customFormat="1" x14ac:dyDescent="0.3">
      <c r="H65" s="5" t="s">
        <v>144</v>
      </c>
      <c r="I65" s="21"/>
      <c r="J65" s="13"/>
      <c r="L65" s="26">
        <f>Table134567810111213141516171819202122232425262729[[#This Row],[الدولار]]+(Table134567810111213141516171819202122232425262729[[#This Row],[اللبناني]]/90)</f>
        <v>0</v>
      </c>
      <c r="M65" s="6"/>
    </row>
    <row r="66" spans="8:13" s="8" customFormat="1" x14ac:dyDescent="0.3">
      <c r="H66" s="5" t="s">
        <v>144</v>
      </c>
      <c r="I66" s="21"/>
      <c r="J66" s="13"/>
      <c r="L66" s="26">
        <f>Table134567810111213141516171819202122232425262729[[#This Row],[الدولار]]+(Table134567810111213141516171819202122232425262729[[#This Row],[اللبناني]]/90)</f>
        <v>0</v>
      </c>
      <c r="M66" s="6"/>
    </row>
    <row r="67" spans="8:13" s="8" customFormat="1" x14ac:dyDescent="0.3">
      <c r="H67" s="5" t="s">
        <v>144</v>
      </c>
      <c r="I67" s="21"/>
      <c r="J67" s="13"/>
      <c r="L67" s="26">
        <f>Table134567810111213141516171819202122232425262729[[#This Row],[الدولار]]+(Table134567810111213141516171819202122232425262729[[#This Row],[اللبناني]]/90)</f>
        <v>0</v>
      </c>
      <c r="M67" s="6"/>
    </row>
    <row r="68" spans="8:13" s="8" customFormat="1" x14ac:dyDescent="0.3">
      <c r="H68" s="5" t="s">
        <v>144</v>
      </c>
      <c r="I68" s="21"/>
      <c r="J68" s="13"/>
      <c r="L68" s="26">
        <f>Table134567810111213141516171819202122232425262729[[#This Row],[الدولار]]+(Table134567810111213141516171819202122232425262729[[#This Row],[اللبناني]]/90)</f>
        <v>0</v>
      </c>
      <c r="M68" s="6"/>
    </row>
    <row r="69" spans="8:13" s="8" customFormat="1" x14ac:dyDescent="0.3">
      <c r="H69" s="5" t="s">
        <v>144</v>
      </c>
      <c r="I69" s="21"/>
      <c r="J69" s="13"/>
      <c r="L69" s="26">
        <f>Table134567810111213141516171819202122232425262729[[#This Row],[الدولار]]+(Table134567810111213141516171819202122232425262729[[#This Row],[اللبناني]]/90)</f>
        <v>0</v>
      </c>
      <c r="M69" s="6"/>
    </row>
    <row r="70" spans="8:13" s="8" customFormat="1" x14ac:dyDescent="0.3">
      <c r="H70" s="5" t="s">
        <v>144</v>
      </c>
      <c r="I70" s="21"/>
      <c r="J70" s="13"/>
      <c r="L70" s="26">
        <f>Table134567810111213141516171819202122232425262729[[#This Row],[الدولار]]+(Table134567810111213141516171819202122232425262729[[#This Row],[اللبناني]]/90)</f>
        <v>0</v>
      </c>
      <c r="M70" s="6"/>
    </row>
    <row r="71" spans="8:13" s="8" customFormat="1" x14ac:dyDescent="0.3">
      <c r="H71" s="5" t="s">
        <v>144</v>
      </c>
      <c r="I71" s="21"/>
      <c r="J71" s="13"/>
      <c r="L71" s="26">
        <f>Table134567810111213141516171819202122232425262729[[#This Row],[الدولار]]+(Table134567810111213141516171819202122232425262729[[#This Row],[اللبناني]]/90)</f>
        <v>0</v>
      </c>
      <c r="M71" s="6"/>
    </row>
    <row r="72" spans="8:13" s="8" customFormat="1" x14ac:dyDescent="0.3">
      <c r="H72" s="5" t="s">
        <v>144</v>
      </c>
      <c r="I72" s="21"/>
      <c r="J72" s="13"/>
      <c r="L72" s="26">
        <f>Table134567810111213141516171819202122232425262729[[#This Row],[الدولار]]+(Table134567810111213141516171819202122232425262729[[#This Row],[اللبناني]]/90)</f>
        <v>0</v>
      </c>
      <c r="M72" s="6"/>
    </row>
    <row r="73" spans="8:13" s="8" customFormat="1" x14ac:dyDescent="0.3">
      <c r="H73" s="5" t="s">
        <v>144</v>
      </c>
      <c r="I73" s="21"/>
      <c r="J73" s="13"/>
      <c r="L73" s="26">
        <f>Table134567810111213141516171819202122232425262729[[#This Row],[الدولار]]+(Table134567810111213141516171819202122232425262729[[#This Row],[اللبناني]]/90)</f>
        <v>0</v>
      </c>
      <c r="M73" s="6"/>
    </row>
    <row r="74" spans="8:13" s="8" customFormat="1" x14ac:dyDescent="0.3">
      <c r="H74" s="5" t="s">
        <v>144</v>
      </c>
      <c r="I74" s="21"/>
      <c r="J74" s="13"/>
      <c r="L74" s="26">
        <f>Table134567810111213141516171819202122232425262729[[#This Row],[الدولار]]+(Table134567810111213141516171819202122232425262729[[#This Row],[اللبناني]]/90)</f>
        <v>0</v>
      </c>
      <c r="M74" s="6"/>
    </row>
    <row r="75" spans="8:13" s="8" customFormat="1" x14ac:dyDescent="0.3">
      <c r="H75" s="5" t="s">
        <v>144</v>
      </c>
      <c r="I75" s="21"/>
      <c r="J75" s="13"/>
      <c r="L75" s="26">
        <f>Table134567810111213141516171819202122232425262729[[#This Row],[الدولار]]+(Table134567810111213141516171819202122232425262729[[#This Row],[اللبناني]]/90)</f>
        <v>0</v>
      </c>
      <c r="M75" s="6"/>
    </row>
    <row r="76" spans="8:13" s="8" customFormat="1" x14ac:dyDescent="0.3">
      <c r="H76" s="5" t="s">
        <v>144</v>
      </c>
      <c r="I76" s="21"/>
      <c r="J76" s="13"/>
      <c r="L76" s="26">
        <f>Table134567810111213141516171819202122232425262729[[#This Row],[الدولار]]+(Table134567810111213141516171819202122232425262729[[#This Row],[اللبناني]]/90)</f>
        <v>0</v>
      </c>
      <c r="M76" s="6"/>
    </row>
    <row r="77" spans="8:13" s="8" customFormat="1" x14ac:dyDescent="0.3">
      <c r="H77" s="5" t="s">
        <v>144</v>
      </c>
      <c r="I77" s="21"/>
      <c r="J77" s="13"/>
      <c r="L77" s="26">
        <f>Table134567810111213141516171819202122232425262729[[#This Row],[الدولار]]+(Table134567810111213141516171819202122232425262729[[#This Row],[اللبناني]]/90)</f>
        <v>0</v>
      </c>
      <c r="M77" s="6"/>
    </row>
    <row r="78" spans="8:13" s="8" customFormat="1" x14ac:dyDescent="0.3">
      <c r="H78" s="5" t="s">
        <v>144</v>
      </c>
      <c r="I78" s="21"/>
      <c r="J78" s="13"/>
      <c r="L78" s="26">
        <f>Table134567810111213141516171819202122232425262729[[#This Row],[الدولار]]+(Table134567810111213141516171819202122232425262729[[#This Row],[اللبناني]]/90)</f>
        <v>0</v>
      </c>
      <c r="M78" s="6"/>
    </row>
    <row r="79" spans="8:13" s="8" customFormat="1" x14ac:dyDescent="0.3">
      <c r="H79" s="5" t="s">
        <v>144</v>
      </c>
      <c r="I79" s="21"/>
      <c r="J79" s="13"/>
      <c r="L79" s="26">
        <f>Table134567810111213141516171819202122232425262729[[#This Row],[الدولار]]+(Table134567810111213141516171819202122232425262729[[#This Row],[اللبناني]]/90)</f>
        <v>0</v>
      </c>
      <c r="M79" s="6"/>
    </row>
    <row r="80" spans="8:13" s="8" customFormat="1" x14ac:dyDescent="0.3">
      <c r="H80" s="5" t="s">
        <v>144</v>
      </c>
      <c r="I80" s="21"/>
      <c r="J80" s="13"/>
      <c r="L80" s="26">
        <f>Table134567810111213141516171819202122232425262729[[#This Row],[الدولار]]+(Table134567810111213141516171819202122232425262729[[#This Row],[اللبناني]]/90)</f>
        <v>0</v>
      </c>
      <c r="M80" s="6"/>
    </row>
    <row r="81" spans="8:13" s="8" customFormat="1" x14ac:dyDescent="0.3">
      <c r="H81" s="5" t="s">
        <v>144</v>
      </c>
      <c r="I81" s="21"/>
      <c r="J81" s="13"/>
      <c r="L81" s="26">
        <f>Table134567810111213141516171819202122232425262729[[#This Row],[الدولار]]+(Table134567810111213141516171819202122232425262729[[#This Row],[اللبناني]]/90)</f>
        <v>0</v>
      </c>
      <c r="M81" s="6"/>
    </row>
    <row r="82" spans="8:13" s="8" customFormat="1" x14ac:dyDescent="0.3">
      <c r="H82" s="5" t="s">
        <v>144</v>
      </c>
      <c r="I82" s="21"/>
      <c r="J82" s="13"/>
      <c r="L82" s="26">
        <f>Table134567810111213141516171819202122232425262729[[#This Row],[الدولار]]+(Table134567810111213141516171819202122232425262729[[#This Row],[اللبناني]]/90)</f>
        <v>0</v>
      </c>
      <c r="M82" s="6"/>
    </row>
    <row r="83" spans="8:13" s="8" customFormat="1" x14ac:dyDescent="0.3">
      <c r="H83" s="5" t="s">
        <v>144</v>
      </c>
      <c r="I83" s="21"/>
      <c r="J83" s="13"/>
      <c r="L83" s="26">
        <f>Table134567810111213141516171819202122232425262729[[#This Row],[الدولار]]+(Table134567810111213141516171819202122232425262729[[#This Row],[اللبناني]]/90)</f>
        <v>0</v>
      </c>
      <c r="M83" s="6"/>
    </row>
    <row r="84" spans="8:13" s="8" customFormat="1" x14ac:dyDescent="0.3">
      <c r="H84" s="5" t="s">
        <v>144</v>
      </c>
      <c r="I84" s="21"/>
      <c r="J84" s="13"/>
      <c r="L84" s="26">
        <f>Table134567810111213141516171819202122232425262729[[#This Row],[الدولار]]+(Table134567810111213141516171819202122232425262729[[#This Row],[اللبناني]]/90)</f>
        <v>0</v>
      </c>
      <c r="M84" s="6"/>
    </row>
    <row r="85" spans="8:13" s="8" customFormat="1" x14ac:dyDescent="0.3">
      <c r="H85" s="5" t="s">
        <v>144</v>
      </c>
      <c r="I85" s="21"/>
      <c r="J85" s="13"/>
      <c r="L85" s="26">
        <f>Table134567810111213141516171819202122232425262729[[#This Row],[الدولار]]+(Table134567810111213141516171819202122232425262729[[#This Row],[اللبناني]]/90)</f>
        <v>0</v>
      </c>
      <c r="M85" s="6"/>
    </row>
    <row r="86" spans="8:13" s="8" customFormat="1" x14ac:dyDescent="0.3">
      <c r="H86" s="5" t="s">
        <v>144</v>
      </c>
      <c r="I86" s="21"/>
      <c r="J86" s="13"/>
      <c r="L86" s="26">
        <f>Table134567810111213141516171819202122232425262729[[#This Row],[الدولار]]+(Table134567810111213141516171819202122232425262729[[#This Row],[اللبناني]]/90)</f>
        <v>0</v>
      </c>
      <c r="M86" s="6"/>
    </row>
    <row r="87" spans="8:13" s="8" customFormat="1" x14ac:dyDescent="0.3">
      <c r="H87" s="5" t="s">
        <v>144</v>
      </c>
      <c r="I87" s="21"/>
      <c r="J87" s="13"/>
      <c r="L87" s="26">
        <f>Table134567810111213141516171819202122232425262729[[#This Row],[الدولار]]+(Table134567810111213141516171819202122232425262729[[#This Row],[اللبناني]]/90)</f>
        <v>0</v>
      </c>
      <c r="M87" s="6"/>
    </row>
    <row r="88" spans="8:13" s="8" customFormat="1" x14ac:dyDescent="0.3">
      <c r="H88" s="5" t="s">
        <v>144</v>
      </c>
      <c r="I88" s="21"/>
      <c r="J88" s="13"/>
      <c r="L88" s="26">
        <f>Table134567810111213141516171819202122232425262729[[#This Row],[الدولار]]+(Table134567810111213141516171819202122232425262729[[#This Row],[اللبناني]]/90)</f>
        <v>0</v>
      </c>
      <c r="M88" s="6"/>
    </row>
    <row r="89" spans="8:13" s="8" customFormat="1" x14ac:dyDescent="0.3">
      <c r="H89" s="5" t="s">
        <v>144</v>
      </c>
      <c r="I89" s="21"/>
      <c r="J89" s="13"/>
      <c r="L89" s="26">
        <f>Table134567810111213141516171819202122232425262729[[#This Row],[الدولار]]+(Table134567810111213141516171819202122232425262729[[#This Row],[اللبناني]]/90)</f>
        <v>0</v>
      </c>
      <c r="M89" s="6"/>
    </row>
    <row r="90" spans="8:13" s="8" customFormat="1" x14ac:dyDescent="0.3">
      <c r="H90" s="5" t="s">
        <v>144</v>
      </c>
      <c r="I90" s="21"/>
      <c r="J90" s="13"/>
      <c r="L90" s="26">
        <f>Table134567810111213141516171819202122232425262729[[#This Row],[الدولار]]+(Table134567810111213141516171819202122232425262729[[#This Row],[اللبناني]]/90)</f>
        <v>0</v>
      </c>
      <c r="M90" s="6"/>
    </row>
    <row r="91" spans="8:13" s="8" customFormat="1" x14ac:dyDescent="0.3">
      <c r="H91" s="5" t="s">
        <v>144</v>
      </c>
      <c r="I91" s="21"/>
      <c r="J91" s="13"/>
      <c r="L91" s="26">
        <f>Table134567810111213141516171819202122232425262729[[#This Row],[الدولار]]+(Table134567810111213141516171819202122232425262729[[#This Row],[اللبناني]]/90)</f>
        <v>0</v>
      </c>
      <c r="M91" s="6"/>
    </row>
    <row r="92" spans="8:13" s="8" customFormat="1" x14ac:dyDescent="0.3">
      <c r="H92" s="5" t="s">
        <v>144</v>
      </c>
      <c r="I92" s="21"/>
      <c r="J92" s="13"/>
      <c r="L92" s="26">
        <f>Table134567810111213141516171819202122232425262729[[#This Row],[الدولار]]+(Table134567810111213141516171819202122232425262729[[#This Row],[اللبناني]]/90)</f>
        <v>0</v>
      </c>
      <c r="M92" s="6"/>
    </row>
    <row r="93" spans="8:13" s="8" customFormat="1" x14ac:dyDescent="0.3">
      <c r="H93" s="5" t="s">
        <v>144</v>
      </c>
      <c r="I93" s="21"/>
      <c r="J93" s="13"/>
      <c r="L93" s="26">
        <f>Table134567810111213141516171819202122232425262729[[#This Row],[الدولار]]+(Table134567810111213141516171819202122232425262729[[#This Row],[اللبناني]]/90)</f>
        <v>0</v>
      </c>
      <c r="M93" s="6"/>
    </row>
    <row r="94" spans="8:13" s="8" customFormat="1" x14ac:dyDescent="0.3">
      <c r="H94" s="5" t="s">
        <v>144</v>
      </c>
      <c r="I94" s="21"/>
      <c r="J94" s="13"/>
      <c r="L94" s="26">
        <f>Table134567810111213141516171819202122232425262729[[#This Row],[الدولار]]+(Table134567810111213141516171819202122232425262729[[#This Row],[اللبناني]]/90)</f>
        <v>0</v>
      </c>
      <c r="M94" s="6"/>
    </row>
    <row r="95" spans="8:13" s="8" customFormat="1" x14ac:dyDescent="0.3">
      <c r="H95" s="5" t="s">
        <v>144</v>
      </c>
      <c r="I95" s="21"/>
      <c r="J95" s="13"/>
      <c r="L95" s="26">
        <f>Table134567810111213141516171819202122232425262729[[#This Row],[الدولار]]+(Table134567810111213141516171819202122232425262729[[#This Row],[اللبناني]]/90)</f>
        <v>0</v>
      </c>
      <c r="M95" s="6"/>
    </row>
    <row r="96" spans="8:13" s="8" customFormat="1" x14ac:dyDescent="0.3">
      <c r="H96" s="5" t="s">
        <v>144</v>
      </c>
      <c r="I96" s="21"/>
      <c r="J96" s="13"/>
      <c r="L96" s="26">
        <f>Table134567810111213141516171819202122232425262729[[#This Row],[الدولار]]+(Table134567810111213141516171819202122232425262729[[#This Row],[اللبناني]]/90)</f>
        <v>0</v>
      </c>
      <c r="M96" s="6"/>
    </row>
    <row r="97" spans="8:13" s="8" customFormat="1" x14ac:dyDescent="0.3">
      <c r="H97" s="5" t="s">
        <v>144</v>
      </c>
      <c r="I97" s="21"/>
      <c r="J97" s="13"/>
      <c r="L97" s="26">
        <f>Table134567810111213141516171819202122232425262729[[#This Row],[الدولار]]+(Table134567810111213141516171819202122232425262729[[#This Row],[اللبناني]]/90)</f>
        <v>0</v>
      </c>
      <c r="M97" s="6"/>
    </row>
    <row r="98" spans="8:13" s="8" customFormat="1" x14ac:dyDescent="0.3">
      <c r="H98" s="5" t="s">
        <v>144</v>
      </c>
      <c r="I98" s="21"/>
      <c r="J98" s="13"/>
      <c r="L98" s="26">
        <f>Table134567810111213141516171819202122232425262729[[#This Row],[الدولار]]+(Table134567810111213141516171819202122232425262729[[#This Row],[اللبناني]]/90)</f>
        <v>0</v>
      </c>
      <c r="M98" s="6"/>
    </row>
    <row r="99" spans="8:13" s="8" customFormat="1" x14ac:dyDescent="0.3">
      <c r="H99" s="5" t="s">
        <v>144</v>
      </c>
      <c r="I99" s="21"/>
      <c r="J99" s="13"/>
      <c r="L99" s="26">
        <f>Table134567810111213141516171819202122232425262729[[#This Row],[الدولار]]+(Table134567810111213141516171819202122232425262729[[#This Row],[اللبناني]]/90)</f>
        <v>0</v>
      </c>
      <c r="M99" s="6"/>
    </row>
    <row r="100" spans="8:13" s="8" customFormat="1" x14ac:dyDescent="0.3">
      <c r="H100" s="5" t="s">
        <v>144</v>
      </c>
      <c r="I100" s="21"/>
      <c r="J100" s="13"/>
      <c r="L100" s="26">
        <f>Table134567810111213141516171819202122232425262729[[#This Row],[الدولار]]+(Table134567810111213141516171819202122232425262729[[#This Row],[اللبناني]]/90)</f>
        <v>0</v>
      </c>
      <c r="M100" s="6"/>
    </row>
    <row r="101" spans="8:13" s="8" customFormat="1" x14ac:dyDescent="0.3">
      <c r="H101" s="5" t="s">
        <v>144</v>
      </c>
      <c r="I101" s="21"/>
      <c r="J101" s="13"/>
      <c r="L101" s="26">
        <f>Table134567810111213141516171819202122232425262729[[#This Row],[الدولار]]+(Table134567810111213141516171819202122232425262729[[#This Row],[اللبناني]]/90)</f>
        <v>0</v>
      </c>
      <c r="M101" s="6"/>
    </row>
    <row r="102" spans="8:13" s="8" customFormat="1" x14ac:dyDescent="0.3">
      <c r="H102" s="5" t="s">
        <v>144</v>
      </c>
      <c r="I102" s="21"/>
      <c r="J102" s="13"/>
      <c r="L102" s="26">
        <f>Table134567810111213141516171819202122232425262729[[#This Row],[الدولار]]+(Table134567810111213141516171819202122232425262729[[#This Row],[اللبناني]]/90)</f>
        <v>0</v>
      </c>
      <c r="M102" s="6"/>
    </row>
    <row r="103" spans="8:13" s="8" customFormat="1" x14ac:dyDescent="0.3">
      <c r="H103" s="5" t="s">
        <v>144</v>
      </c>
      <c r="I103" s="21"/>
      <c r="J103" s="13"/>
      <c r="L103" s="26">
        <f>Table134567810111213141516171819202122232425262729[[#This Row],[الدولار]]+(Table134567810111213141516171819202122232425262729[[#This Row],[اللبناني]]/90)</f>
        <v>0</v>
      </c>
      <c r="M103" s="6"/>
    </row>
    <row r="104" spans="8:13" s="8" customFormat="1" x14ac:dyDescent="0.3">
      <c r="H104" s="5" t="s">
        <v>144</v>
      </c>
      <c r="I104" s="21"/>
      <c r="J104" s="13"/>
      <c r="L104" s="26">
        <f>Table134567810111213141516171819202122232425262729[[#This Row],[الدولار]]+(Table134567810111213141516171819202122232425262729[[#This Row],[اللبناني]]/90)</f>
        <v>0</v>
      </c>
      <c r="M104" s="6"/>
    </row>
    <row r="105" spans="8:13" s="8" customFormat="1" x14ac:dyDescent="0.3">
      <c r="H105" s="5" t="s">
        <v>144</v>
      </c>
      <c r="I105" s="21"/>
      <c r="J105" s="13"/>
      <c r="L105" s="26">
        <f>Table134567810111213141516171819202122232425262729[[#This Row],[الدولار]]+(Table134567810111213141516171819202122232425262729[[#This Row],[اللبناني]]/90)</f>
        <v>0</v>
      </c>
      <c r="M105" s="6"/>
    </row>
    <row r="106" spans="8:13" s="8" customFormat="1" x14ac:dyDescent="0.3">
      <c r="H106" s="5" t="s">
        <v>144</v>
      </c>
      <c r="I106" s="21"/>
      <c r="J106" s="13"/>
      <c r="L106" s="26">
        <f>Table134567810111213141516171819202122232425262729[[#This Row],[الدولار]]+(Table134567810111213141516171819202122232425262729[[#This Row],[اللبناني]]/90)</f>
        <v>0</v>
      </c>
      <c r="M106" s="6"/>
    </row>
    <row r="107" spans="8:13" s="8" customFormat="1" x14ac:dyDescent="0.3">
      <c r="H107" s="5" t="s">
        <v>144</v>
      </c>
      <c r="I107" s="21"/>
      <c r="J107" s="13"/>
      <c r="L107" s="26">
        <f>Table134567810111213141516171819202122232425262729[[#This Row],[الدولار]]+(Table134567810111213141516171819202122232425262729[[#This Row],[اللبناني]]/90)</f>
        <v>0</v>
      </c>
      <c r="M107" s="6"/>
    </row>
    <row r="108" spans="8:13" s="8" customFormat="1" x14ac:dyDescent="0.3">
      <c r="H108" s="5" t="s">
        <v>144</v>
      </c>
      <c r="I108" s="21"/>
      <c r="J108" s="13"/>
      <c r="L108" s="26">
        <f>Table134567810111213141516171819202122232425262729[[#This Row],[الدولار]]+(Table134567810111213141516171819202122232425262729[[#This Row],[اللبناني]]/90)</f>
        <v>0</v>
      </c>
      <c r="M108" s="6"/>
    </row>
    <row r="109" spans="8:13" s="8" customFormat="1" x14ac:dyDescent="0.3">
      <c r="H109" s="5" t="s">
        <v>144</v>
      </c>
      <c r="I109" s="21"/>
      <c r="J109" s="13"/>
      <c r="L109" s="26">
        <f>Table134567810111213141516171819202122232425262729[[#This Row],[الدولار]]+(Table134567810111213141516171819202122232425262729[[#This Row],[اللبناني]]/90)</f>
        <v>0</v>
      </c>
      <c r="M109" s="6"/>
    </row>
    <row r="110" spans="8:13" s="8" customFormat="1" x14ac:dyDescent="0.3">
      <c r="H110" s="5" t="s">
        <v>144</v>
      </c>
      <c r="I110" s="21"/>
      <c r="J110" s="13"/>
      <c r="L110" s="26">
        <f>Table134567810111213141516171819202122232425262729[[#This Row],[الدولار]]+(Table134567810111213141516171819202122232425262729[[#This Row],[اللبناني]]/90)</f>
        <v>0</v>
      </c>
      <c r="M110" s="6"/>
    </row>
    <row r="111" spans="8:13" s="8" customFormat="1" x14ac:dyDescent="0.3">
      <c r="H111" s="5" t="s">
        <v>144</v>
      </c>
      <c r="I111" s="21"/>
      <c r="J111" s="13"/>
      <c r="L111" s="26">
        <f>Table134567810111213141516171819202122232425262729[[#This Row],[الدولار]]+(Table134567810111213141516171819202122232425262729[[#This Row],[اللبناني]]/90)</f>
        <v>0</v>
      </c>
      <c r="M111" s="6"/>
    </row>
    <row r="112" spans="8:13" s="8" customFormat="1" x14ac:dyDescent="0.3">
      <c r="H112" s="5" t="s">
        <v>144</v>
      </c>
      <c r="I112" s="21"/>
      <c r="J112" s="13"/>
      <c r="L112" s="26">
        <f>Table134567810111213141516171819202122232425262729[[#This Row],[الدولار]]+(Table134567810111213141516171819202122232425262729[[#This Row],[اللبناني]]/90)</f>
        <v>0</v>
      </c>
      <c r="M112" s="6"/>
    </row>
    <row r="113" spans="8:13" s="8" customFormat="1" x14ac:dyDescent="0.3">
      <c r="H113" s="5" t="s">
        <v>144</v>
      </c>
      <c r="I113" s="21"/>
      <c r="J113" s="13"/>
      <c r="L113" s="26">
        <f>Table134567810111213141516171819202122232425262729[[#This Row],[الدولار]]+(Table134567810111213141516171819202122232425262729[[#This Row],[اللبناني]]/90)</f>
        <v>0</v>
      </c>
      <c r="M113" s="6"/>
    </row>
    <row r="114" spans="8:13" s="8" customFormat="1" x14ac:dyDescent="0.3">
      <c r="H114" s="5" t="s">
        <v>144</v>
      </c>
      <c r="I114" s="21"/>
      <c r="J114" s="13"/>
      <c r="L114" s="26">
        <f>Table134567810111213141516171819202122232425262729[[#This Row],[الدولار]]+(Table134567810111213141516171819202122232425262729[[#This Row],[اللبناني]]/90)</f>
        <v>0</v>
      </c>
      <c r="M114" s="6"/>
    </row>
    <row r="115" spans="8:13" s="8" customFormat="1" x14ac:dyDescent="0.3">
      <c r="H115" s="5" t="s">
        <v>144</v>
      </c>
      <c r="I115" s="21"/>
      <c r="J115" s="13"/>
      <c r="L115" s="26">
        <f>Table134567810111213141516171819202122232425262729[[#This Row],[الدولار]]+(Table134567810111213141516171819202122232425262729[[#This Row],[اللبناني]]/90)</f>
        <v>0</v>
      </c>
      <c r="M115" s="6"/>
    </row>
    <row r="116" spans="8:13" s="8" customFormat="1" x14ac:dyDescent="0.3">
      <c r="H116" s="5" t="s">
        <v>144</v>
      </c>
      <c r="I116" s="21"/>
      <c r="J116" s="13"/>
      <c r="L116" s="26">
        <f>Table134567810111213141516171819202122232425262729[[#This Row],[الدولار]]+(Table134567810111213141516171819202122232425262729[[#This Row],[اللبناني]]/90)</f>
        <v>0</v>
      </c>
      <c r="M116" s="6"/>
    </row>
    <row r="117" spans="8:13" s="8" customFormat="1" x14ac:dyDescent="0.3">
      <c r="H117" s="5" t="s">
        <v>144</v>
      </c>
      <c r="I117" s="21"/>
      <c r="J117" s="13"/>
      <c r="L117" s="26">
        <f>Table134567810111213141516171819202122232425262729[[#This Row],[الدولار]]+(Table134567810111213141516171819202122232425262729[[#This Row],[اللبناني]]/90)</f>
        <v>0</v>
      </c>
      <c r="M117" s="6"/>
    </row>
    <row r="118" spans="8:13" s="8" customFormat="1" x14ac:dyDescent="0.3">
      <c r="H118" s="5" t="s">
        <v>144</v>
      </c>
      <c r="I118" s="21"/>
      <c r="J118" s="13"/>
      <c r="L118" s="26">
        <f>Table134567810111213141516171819202122232425262729[[#This Row],[الدولار]]+(Table134567810111213141516171819202122232425262729[[#This Row],[اللبناني]]/90)</f>
        <v>0</v>
      </c>
      <c r="M118" s="6"/>
    </row>
    <row r="119" spans="8:13" s="8" customFormat="1" x14ac:dyDescent="0.3">
      <c r="H119" s="5" t="s">
        <v>144</v>
      </c>
      <c r="I119" s="21"/>
      <c r="J119" s="13"/>
      <c r="L119" s="26">
        <f>Table134567810111213141516171819202122232425262729[[#This Row],[الدولار]]+(Table134567810111213141516171819202122232425262729[[#This Row],[اللبناني]]/90)</f>
        <v>0</v>
      </c>
      <c r="M119" s="6"/>
    </row>
    <row r="120" spans="8:13" s="8" customFormat="1" x14ac:dyDescent="0.3">
      <c r="H120" s="5" t="s">
        <v>144</v>
      </c>
      <c r="I120" s="21"/>
      <c r="J120" s="13"/>
      <c r="L120" s="26">
        <f>Table134567810111213141516171819202122232425262729[[#This Row],[الدولار]]+(Table134567810111213141516171819202122232425262729[[#This Row],[اللبناني]]/90)</f>
        <v>0</v>
      </c>
      <c r="M120" s="6"/>
    </row>
    <row r="121" spans="8:13" s="8" customFormat="1" x14ac:dyDescent="0.3">
      <c r="H121" s="5" t="s">
        <v>144</v>
      </c>
      <c r="I121" s="21"/>
      <c r="J121" s="13"/>
      <c r="L121" s="26">
        <f>Table134567810111213141516171819202122232425262729[[#This Row],[الدولار]]+(Table134567810111213141516171819202122232425262729[[#This Row],[اللبناني]]/90)</f>
        <v>0</v>
      </c>
      <c r="M121" s="6"/>
    </row>
    <row r="122" spans="8:13" s="8" customFormat="1" x14ac:dyDescent="0.3">
      <c r="H122" s="5" t="s">
        <v>144</v>
      </c>
      <c r="I122" s="21"/>
      <c r="J122" s="13"/>
      <c r="L122" s="26">
        <f>Table134567810111213141516171819202122232425262729[[#This Row],[الدولار]]+(Table134567810111213141516171819202122232425262729[[#This Row],[اللبناني]]/90)</f>
        <v>0</v>
      </c>
      <c r="M122" s="6"/>
    </row>
    <row r="123" spans="8:13" s="8" customFormat="1" x14ac:dyDescent="0.3">
      <c r="H123" s="5" t="s">
        <v>144</v>
      </c>
      <c r="I123" s="21"/>
      <c r="J123" s="13"/>
      <c r="L123" s="26">
        <f>Table134567810111213141516171819202122232425262729[[#This Row],[الدولار]]+(Table134567810111213141516171819202122232425262729[[#This Row],[اللبناني]]/90)</f>
        <v>0</v>
      </c>
      <c r="M123" s="6"/>
    </row>
    <row r="124" spans="8:13" s="8" customFormat="1" x14ac:dyDescent="0.3">
      <c r="H124" s="5" t="s">
        <v>144</v>
      </c>
      <c r="I124" s="21"/>
      <c r="J124" s="13"/>
      <c r="L124" s="26">
        <f>Table134567810111213141516171819202122232425262729[[#This Row],[الدولار]]+(Table134567810111213141516171819202122232425262729[[#This Row],[اللبناني]]/90)</f>
        <v>0</v>
      </c>
      <c r="M124" s="6"/>
    </row>
    <row r="125" spans="8:13" s="8" customFormat="1" x14ac:dyDescent="0.3">
      <c r="H125" s="5" t="s">
        <v>144</v>
      </c>
      <c r="I125" s="21"/>
      <c r="J125" s="13"/>
      <c r="L125" s="26">
        <f>Table134567810111213141516171819202122232425262729[[#This Row],[الدولار]]+(Table134567810111213141516171819202122232425262729[[#This Row],[اللبناني]]/90)</f>
        <v>0</v>
      </c>
      <c r="M125" s="6"/>
    </row>
    <row r="126" spans="8:13" s="8" customFormat="1" x14ac:dyDescent="0.3">
      <c r="H126" s="5" t="s">
        <v>144</v>
      </c>
      <c r="I126" s="21"/>
      <c r="J126" s="13"/>
      <c r="L126" s="26">
        <f>Table134567810111213141516171819202122232425262729[[#This Row],[الدولار]]+(Table134567810111213141516171819202122232425262729[[#This Row],[اللبناني]]/90)</f>
        <v>0</v>
      </c>
      <c r="M126" s="6"/>
    </row>
    <row r="127" spans="8:13" s="8" customFormat="1" x14ac:dyDescent="0.3">
      <c r="H127" s="5" t="s">
        <v>144</v>
      </c>
      <c r="I127" s="21"/>
      <c r="J127" s="13"/>
      <c r="L127" s="26">
        <f>Table134567810111213141516171819202122232425262729[[#This Row],[الدولار]]+(Table134567810111213141516171819202122232425262729[[#This Row],[اللبناني]]/90)</f>
        <v>0</v>
      </c>
      <c r="M127" s="6"/>
    </row>
    <row r="128" spans="8:13" s="8" customFormat="1" x14ac:dyDescent="0.3">
      <c r="H128" s="5" t="s">
        <v>144</v>
      </c>
      <c r="I128" s="21"/>
      <c r="J128" s="13"/>
      <c r="L128" s="26">
        <f>Table134567810111213141516171819202122232425262729[[#This Row],[الدولار]]+(Table134567810111213141516171819202122232425262729[[#This Row],[اللبناني]]/90)</f>
        <v>0</v>
      </c>
      <c r="M128" s="6"/>
    </row>
    <row r="129" spans="8:13" s="8" customFormat="1" x14ac:dyDescent="0.3">
      <c r="H129" s="5" t="s">
        <v>144</v>
      </c>
      <c r="I129" s="21"/>
      <c r="J129" s="13"/>
      <c r="L129" s="26">
        <f>Table134567810111213141516171819202122232425262729[[#This Row],[الدولار]]+(Table134567810111213141516171819202122232425262729[[#This Row],[اللبناني]]/90)</f>
        <v>0</v>
      </c>
      <c r="M129" s="6"/>
    </row>
    <row r="130" spans="8:13" s="8" customFormat="1" x14ac:dyDescent="0.3">
      <c r="H130" s="5" t="s">
        <v>144</v>
      </c>
      <c r="I130" s="21"/>
      <c r="J130" s="13"/>
      <c r="L130" s="26">
        <f>Table134567810111213141516171819202122232425262729[[#This Row],[الدولار]]+(Table134567810111213141516171819202122232425262729[[#This Row],[اللبناني]]/90)</f>
        <v>0</v>
      </c>
      <c r="M130" s="6"/>
    </row>
    <row r="131" spans="8:13" s="8" customFormat="1" x14ac:dyDescent="0.3">
      <c r="H131" s="5" t="s">
        <v>144</v>
      </c>
      <c r="I131" s="21"/>
      <c r="J131" s="13"/>
      <c r="L131" s="26">
        <f>Table134567810111213141516171819202122232425262729[[#This Row],[الدولار]]+(Table134567810111213141516171819202122232425262729[[#This Row],[اللبناني]]/90)</f>
        <v>0</v>
      </c>
      <c r="M131" s="6"/>
    </row>
    <row r="132" spans="8:13" s="8" customFormat="1" x14ac:dyDescent="0.3">
      <c r="H132" s="5" t="s">
        <v>144</v>
      </c>
      <c r="I132" s="21"/>
      <c r="J132" s="13"/>
      <c r="L132" s="26">
        <f>Table134567810111213141516171819202122232425262729[[#This Row],[الدولار]]+(Table134567810111213141516171819202122232425262729[[#This Row],[اللبناني]]/90)</f>
        <v>0</v>
      </c>
      <c r="M132" s="6"/>
    </row>
    <row r="133" spans="8:13" s="8" customFormat="1" x14ac:dyDescent="0.3">
      <c r="H133" s="5" t="s">
        <v>144</v>
      </c>
      <c r="I133" s="21"/>
      <c r="J133" s="13"/>
      <c r="L133" s="26">
        <f>Table134567810111213141516171819202122232425262729[[#This Row],[الدولار]]+(Table134567810111213141516171819202122232425262729[[#This Row],[اللبناني]]/90)</f>
        <v>0</v>
      </c>
      <c r="M133" s="6"/>
    </row>
    <row r="134" spans="8:13" s="8" customFormat="1" x14ac:dyDescent="0.3">
      <c r="H134" s="5" t="s">
        <v>144</v>
      </c>
      <c r="I134" s="21"/>
      <c r="J134" s="13"/>
      <c r="L134" s="26">
        <f>Table134567810111213141516171819202122232425262729[[#This Row],[الدولار]]+(Table134567810111213141516171819202122232425262729[[#This Row],[اللبناني]]/90)</f>
        <v>0</v>
      </c>
      <c r="M134" s="6"/>
    </row>
    <row r="135" spans="8:13" s="8" customFormat="1" x14ac:dyDescent="0.3">
      <c r="H135" s="5" t="s">
        <v>144</v>
      </c>
      <c r="I135" s="21"/>
      <c r="J135" s="13"/>
      <c r="L135" s="26">
        <f>Table134567810111213141516171819202122232425262729[[#This Row],[الدولار]]+(Table134567810111213141516171819202122232425262729[[#This Row],[اللبناني]]/90)</f>
        <v>0</v>
      </c>
      <c r="M135" s="6"/>
    </row>
    <row r="136" spans="8:13" s="8" customFormat="1" x14ac:dyDescent="0.3">
      <c r="H136" s="5" t="s">
        <v>144</v>
      </c>
      <c r="I136" s="21"/>
      <c r="J136" s="13"/>
      <c r="L136" s="26">
        <f>Table134567810111213141516171819202122232425262729[[#This Row],[الدولار]]+(Table134567810111213141516171819202122232425262729[[#This Row],[اللبناني]]/90)</f>
        <v>0</v>
      </c>
      <c r="M136" s="6"/>
    </row>
    <row r="137" spans="8:13" s="8" customFormat="1" x14ac:dyDescent="0.3">
      <c r="H137" s="5" t="s">
        <v>144</v>
      </c>
      <c r="I137" s="21"/>
      <c r="J137" s="13"/>
      <c r="L137" s="26">
        <f>Table134567810111213141516171819202122232425262729[[#This Row],[الدولار]]+(Table134567810111213141516171819202122232425262729[[#This Row],[اللبناني]]/90)</f>
        <v>0</v>
      </c>
      <c r="M137" s="6"/>
    </row>
    <row r="138" spans="8:13" s="8" customFormat="1" x14ac:dyDescent="0.3">
      <c r="H138" s="5" t="s">
        <v>144</v>
      </c>
      <c r="I138" s="21"/>
      <c r="J138" s="13"/>
      <c r="L138" s="26">
        <f>Table134567810111213141516171819202122232425262729[[#This Row],[الدولار]]+(Table134567810111213141516171819202122232425262729[[#This Row],[اللبناني]]/90)</f>
        <v>0</v>
      </c>
      <c r="M138" s="6"/>
    </row>
    <row r="139" spans="8:13" s="8" customFormat="1" x14ac:dyDescent="0.3">
      <c r="H139" s="5" t="s">
        <v>144</v>
      </c>
      <c r="I139" s="21"/>
      <c r="J139" s="13"/>
      <c r="L139" s="26">
        <f>Table134567810111213141516171819202122232425262729[[#This Row],[الدولار]]+(Table134567810111213141516171819202122232425262729[[#This Row],[اللبناني]]/90)</f>
        <v>0</v>
      </c>
      <c r="M139" s="6"/>
    </row>
    <row r="140" spans="8:13" s="8" customFormat="1" x14ac:dyDescent="0.3">
      <c r="H140" s="5" t="s">
        <v>144</v>
      </c>
      <c r="I140" s="21"/>
      <c r="J140" s="13"/>
      <c r="L140" s="26">
        <f>Table134567810111213141516171819202122232425262729[[#This Row],[الدولار]]+(Table134567810111213141516171819202122232425262729[[#This Row],[اللبناني]]/90)</f>
        <v>0</v>
      </c>
      <c r="M140" s="6"/>
    </row>
    <row r="141" spans="8:13" s="8" customFormat="1" x14ac:dyDescent="0.3">
      <c r="H141" s="5" t="s">
        <v>144</v>
      </c>
      <c r="I141" s="21"/>
      <c r="J141" s="13"/>
      <c r="L141" s="26">
        <f>Table134567810111213141516171819202122232425262729[[#This Row],[الدولار]]+(Table134567810111213141516171819202122232425262729[[#This Row],[اللبناني]]/90)</f>
        <v>0</v>
      </c>
      <c r="M141" s="6"/>
    </row>
    <row r="142" spans="8:13" s="8" customFormat="1" x14ac:dyDescent="0.3">
      <c r="H142" s="5" t="s">
        <v>144</v>
      </c>
      <c r="I142" s="21"/>
      <c r="J142" s="13"/>
      <c r="L142" s="26">
        <f>Table134567810111213141516171819202122232425262729[[#This Row],[الدولار]]+(Table134567810111213141516171819202122232425262729[[#This Row],[اللبناني]]/90)</f>
        <v>0</v>
      </c>
      <c r="M142" s="6"/>
    </row>
    <row r="143" spans="8:13" s="8" customFormat="1" x14ac:dyDescent="0.3">
      <c r="H143" s="5" t="s">
        <v>144</v>
      </c>
      <c r="I143" s="21"/>
      <c r="J143" s="13"/>
      <c r="L143" s="26">
        <f>Table134567810111213141516171819202122232425262729[[#This Row],[الدولار]]+(Table134567810111213141516171819202122232425262729[[#This Row],[اللبناني]]/90)</f>
        <v>0</v>
      </c>
      <c r="M143" s="6"/>
    </row>
    <row r="144" spans="8:13" s="8" customFormat="1" x14ac:dyDescent="0.3">
      <c r="H144" s="5" t="s">
        <v>144</v>
      </c>
      <c r="I144" s="21"/>
      <c r="J144" s="13"/>
      <c r="L144" s="26">
        <f>Table134567810111213141516171819202122232425262729[[#This Row],[الدولار]]+(Table134567810111213141516171819202122232425262729[[#This Row],[اللبناني]]/90)</f>
        <v>0</v>
      </c>
      <c r="M144" s="6"/>
    </row>
    <row r="145" spans="8:13" s="8" customFormat="1" x14ac:dyDescent="0.3">
      <c r="H145" s="5" t="s">
        <v>144</v>
      </c>
      <c r="I145" s="21"/>
      <c r="J145" s="13"/>
      <c r="L145" s="26">
        <f>Table134567810111213141516171819202122232425262729[[#This Row],[الدولار]]+(Table134567810111213141516171819202122232425262729[[#This Row],[اللبناني]]/90)</f>
        <v>0</v>
      </c>
      <c r="M145" s="6"/>
    </row>
    <row r="146" spans="8:13" s="8" customFormat="1" x14ac:dyDescent="0.3">
      <c r="H146" s="5" t="s">
        <v>144</v>
      </c>
      <c r="I146" s="21"/>
      <c r="J146" s="13"/>
      <c r="L146" s="26">
        <f>Table134567810111213141516171819202122232425262729[[#This Row],[الدولار]]+(Table134567810111213141516171819202122232425262729[[#This Row],[اللبناني]]/90)</f>
        <v>0</v>
      </c>
      <c r="M146" s="6"/>
    </row>
    <row r="147" spans="8:13" s="8" customFormat="1" x14ac:dyDescent="0.3">
      <c r="H147" s="5" t="s">
        <v>144</v>
      </c>
      <c r="I147" s="21"/>
      <c r="J147" s="13"/>
      <c r="L147" s="26">
        <f>Table134567810111213141516171819202122232425262729[[#This Row],[الدولار]]+(Table134567810111213141516171819202122232425262729[[#This Row],[اللبناني]]/90)</f>
        <v>0</v>
      </c>
      <c r="M147" s="6"/>
    </row>
    <row r="148" spans="8:13" s="8" customFormat="1" x14ac:dyDescent="0.3">
      <c r="H148" s="5" t="s">
        <v>144</v>
      </c>
      <c r="I148" s="21"/>
      <c r="J148" s="13"/>
      <c r="L148" s="26">
        <f>Table134567810111213141516171819202122232425262729[[#This Row],[الدولار]]+(Table134567810111213141516171819202122232425262729[[#This Row],[اللبناني]]/90)</f>
        <v>0</v>
      </c>
      <c r="M148" s="6"/>
    </row>
    <row r="149" spans="8:13" s="8" customFormat="1" x14ac:dyDescent="0.3">
      <c r="H149" s="5" t="s">
        <v>144</v>
      </c>
      <c r="I149" s="21"/>
      <c r="J149" s="13"/>
      <c r="L149" s="26">
        <f>Table134567810111213141516171819202122232425262729[[#This Row],[الدولار]]+(Table134567810111213141516171819202122232425262729[[#This Row],[اللبناني]]/90)</f>
        <v>0</v>
      </c>
      <c r="M149" s="6"/>
    </row>
    <row r="150" spans="8:13" s="8" customFormat="1" x14ac:dyDescent="0.3">
      <c r="H150" s="5" t="s">
        <v>144</v>
      </c>
      <c r="I150" s="21"/>
      <c r="J150" s="13"/>
      <c r="L150" s="26">
        <f>Table134567810111213141516171819202122232425262729[[#This Row],[الدولار]]+(Table134567810111213141516171819202122232425262729[[#This Row],[اللبناني]]/90)</f>
        <v>0</v>
      </c>
      <c r="M150" s="6"/>
    </row>
    <row r="151" spans="8:13" s="8" customFormat="1" x14ac:dyDescent="0.3">
      <c r="H151" s="5" t="s">
        <v>144</v>
      </c>
      <c r="I151" s="21"/>
      <c r="J151" s="13"/>
      <c r="L151" s="26">
        <f>Table134567810111213141516171819202122232425262729[[#This Row],[الدولار]]+(Table134567810111213141516171819202122232425262729[[#This Row],[اللبناني]]/90)</f>
        <v>0</v>
      </c>
      <c r="M151" s="6"/>
    </row>
    <row r="152" spans="8:13" s="8" customFormat="1" x14ac:dyDescent="0.3">
      <c r="H152" s="5" t="s">
        <v>144</v>
      </c>
      <c r="I152" s="21"/>
      <c r="J152" s="13"/>
      <c r="L152" s="26">
        <f>Table134567810111213141516171819202122232425262729[[#This Row],[الدولار]]+(Table134567810111213141516171819202122232425262729[[#This Row],[اللبناني]]/90)</f>
        <v>0</v>
      </c>
      <c r="M152" s="6"/>
    </row>
    <row r="153" spans="8:13" s="8" customFormat="1" x14ac:dyDescent="0.3">
      <c r="H153" s="5" t="s">
        <v>144</v>
      </c>
      <c r="I153" s="21"/>
      <c r="J153" s="13"/>
      <c r="L153" s="26">
        <f>Table134567810111213141516171819202122232425262729[[#This Row],[الدولار]]+(Table134567810111213141516171819202122232425262729[[#This Row],[اللبناني]]/90)</f>
        <v>0</v>
      </c>
      <c r="M153" s="6"/>
    </row>
    <row r="154" spans="8:13" s="8" customFormat="1" x14ac:dyDescent="0.3">
      <c r="H154" s="5" t="s">
        <v>144</v>
      </c>
      <c r="I154" s="21"/>
      <c r="J154" s="13"/>
      <c r="L154" s="26">
        <f>Table134567810111213141516171819202122232425262729[[#This Row],[الدولار]]+(Table134567810111213141516171819202122232425262729[[#This Row],[اللبناني]]/90)</f>
        <v>0</v>
      </c>
      <c r="M154" s="6"/>
    </row>
    <row r="155" spans="8:13" s="8" customFormat="1" x14ac:dyDescent="0.3">
      <c r="H155" s="5" t="s">
        <v>144</v>
      </c>
      <c r="I155" s="21"/>
      <c r="J155" s="13"/>
      <c r="L155" s="26">
        <f>Table134567810111213141516171819202122232425262729[[#This Row],[الدولار]]+(Table134567810111213141516171819202122232425262729[[#This Row],[اللبناني]]/90)</f>
        <v>0</v>
      </c>
      <c r="M155" s="6"/>
    </row>
    <row r="156" spans="8:13" s="8" customFormat="1" x14ac:dyDescent="0.3">
      <c r="H156" s="5" t="s">
        <v>144</v>
      </c>
      <c r="I156" s="21"/>
      <c r="J156" s="13"/>
      <c r="L156" s="26">
        <f>Table134567810111213141516171819202122232425262729[[#This Row],[الدولار]]+(Table134567810111213141516171819202122232425262729[[#This Row],[اللبناني]]/90)</f>
        <v>0</v>
      </c>
      <c r="M156" s="6"/>
    </row>
    <row r="157" spans="8:13" s="8" customFormat="1" x14ac:dyDescent="0.3">
      <c r="H157" s="5" t="s">
        <v>144</v>
      </c>
      <c r="I157" s="21"/>
      <c r="J157" s="13"/>
      <c r="L157" s="26">
        <f>Table134567810111213141516171819202122232425262729[[#This Row],[الدولار]]+(Table134567810111213141516171819202122232425262729[[#This Row],[اللبناني]]/90)</f>
        <v>0</v>
      </c>
      <c r="M157" s="6"/>
    </row>
    <row r="158" spans="8:13" s="8" customFormat="1" x14ac:dyDescent="0.3">
      <c r="H158" s="5" t="s">
        <v>144</v>
      </c>
      <c r="I158" s="21"/>
      <c r="J158" s="13"/>
      <c r="L158" s="26">
        <f>Table134567810111213141516171819202122232425262729[[#This Row],[الدولار]]+(Table134567810111213141516171819202122232425262729[[#This Row],[اللبناني]]/90)</f>
        <v>0</v>
      </c>
      <c r="M158" s="6"/>
    </row>
    <row r="159" spans="8:13" s="8" customFormat="1" x14ac:dyDescent="0.3">
      <c r="H159" s="5" t="s">
        <v>144</v>
      </c>
      <c r="I159" s="21"/>
      <c r="J159" s="13"/>
      <c r="L159" s="26">
        <f>Table134567810111213141516171819202122232425262729[[#This Row],[الدولار]]+(Table134567810111213141516171819202122232425262729[[#This Row],[اللبناني]]/90)</f>
        <v>0</v>
      </c>
      <c r="M159" s="6"/>
    </row>
    <row r="160" spans="8:13" s="8" customFormat="1" x14ac:dyDescent="0.3">
      <c r="H160" s="5" t="s">
        <v>144</v>
      </c>
      <c r="I160" s="21"/>
      <c r="J160" s="13"/>
      <c r="L160" s="26">
        <f>Table134567810111213141516171819202122232425262729[[#This Row],[الدولار]]+(Table134567810111213141516171819202122232425262729[[#This Row],[اللبناني]]/90)</f>
        <v>0</v>
      </c>
      <c r="M160" s="6"/>
    </row>
    <row r="161" spans="8:13" s="8" customFormat="1" x14ac:dyDescent="0.3">
      <c r="H161" s="5" t="s">
        <v>144</v>
      </c>
      <c r="I161" s="21"/>
      <c r="J161" s="13"/>
      <c r="L161" s="26">
        <f>Table134567810111213141516171819202122232425262729[[#This Row],[الدولار]]+(Table134567810111213141516171819202122232425262729[[#This Row],[اللبناني]]/90)</f>
        <v>0</v>
      </c>
      <c r="M161" s="6"/>
    </row>
    <row r="162" spans="8:13" s="8" customFormat="1" x14ac:dyDescent="0.3">
      <c r="H162" s="5" t="s">
        <v>144</v>
      </c>
      <c r="I162" s="21"/>
      <c r="J162" s="13"/>
      <c r="L162" s="26">
        <f>Table134567810111213141516171819202122232425262729[[#This Row],[الدولار]]+(Table134567810111213141516171819202122232425262729[[#This Row],[اللبناني]]/90)</f>
        <v>0</v>
      </c>
      <c r="M162" s="6"/>
    </row>
    <row r="163" spans="8:13" s="8" customFormat="1" x14ac:dyDescent="0.3">
      <c r="H163" s="5" t="s">
        <v>144</v>
      </c>
      <c r="I163" s="21"/>
      <c r="J163" s="13"/>
      <c r="L163" s="26">
        <f>Table134567810111213141516171819202122232425262729[[#This Row],[الدولار]]+(Table134567810111213141516171819202122232425262729[[#This Row],[اللبناني]]/90)</f>
        <v>0</v>
      </c>
      <c r="M163" s="6"/>
    </row>
    <row r="164" spans="8:13" s="8" customFormat="1" x14ac:dyDescent="0.3">
      <c r="H164" s="5" t="s">
        <v>144</v>
      </c>
      <c r="I164" s="21"/>
      <c r="J164" s="13"/>
      <c r="L164" s="26">
        <f>Table134567810111213141516171819202122232425262729[[#This Row],[الدولار]]+(Table134567810111213141516171819202122232425262729[[#This Row],[اللبناني]]/90)</f>
        <v>0</v>
      </c>
      <c r="M164" s="6"/>
    </row>
    <row r="165" spans="8:13" s="8" customFormat="1" x14ac:dyDescent="0.3">
      <c r="H165" s="5" t="s">
        <v>144</v>
      </c>
      <c r="I165" s="21"/>
      <c r="J165" s="13"/>
      <c r="L165" s="26">
        <f>Table134567810111213141516171819202122232425262729[[#This Row],[الدولار]]+(Table134567810111213141516171819202122232425262729[[#This Row],[اللبناني]]/90)</f>
        <v>0</v>
      </c>
      <c r="M165" s="6"/>
    </row>
    <row r="166" spans="8:13" s="8" customFormat="1" x14ac:dyDescent="0.3">
      <c r="H166" s="5" t="s">
        <v>144</v>
      </c>
      <c r="I166" s="21"/>
      <c r="J166" s="13"/>
      <c r="L166" s="26">
        <f>Table134567810111213141516171819202122232425262729[[#This Row],[الدولار]]+(Table134567810111213141516171819202122232425262729[[#This Row],[اللبناني]]/90)</f>
        <v>0</v>
      </c>
      <c r="M166" s="6"/>
    </row>
    <row r="167" spans="8:13" s="8" customFormat="1" x14ac:dyDescent="0.3">
      <c r="H167" s="5" t="s">
        <v>144</v>
      </c>
      <c r="I167" s="21"/>
      <c r="J167" s="13"/>
      <c r="L167" s="26">
        <f>Table134567810111213141516171819202122232425262729[[#This Row],[الدولار]]+(Table134567810111213141516171819202122232425262729[[#This Row],[اللبناني]]/90)</f>
        <v>0</v>
      </c>
      <c r="M167" s="6"/>
    </row>
    <row r="168" spans="8:13" s="8" customFormat="1" x14ac:dyDescent="0.3">
      <c r="H168" s="5" t="s">
        <v>144</v>
      </c>
      <c r="I168" s="21"/>
      <c r="J168" s="13"/>
      <c r="L168" s="26">
        <f>Table134567810111213141516171819202122232425262729[[#This Row],[الدولار]]+(Table134567810111213141516171819202122232425262729[[#This Row],[اللبناني]]/90)</f>
        <v>0</v>
      </c>
      <c r="M168" s="6"/>
    </row>
    <row r="169" spans="8:13" s="8" customFormat="1" x14ac:dyDescent="0.3">
      <c r="H169" s="5" t="s">
        <v>144</v>
      </c>
      <c r="I169" s="21"/>
      <c r="J169" s="13"/>
      <c r="L169" s="26">
        <f>Table134567810111213141516171819202122232425262729[[#This Row],[الدولار]]+(Table134567810111213141516171819202122232425262729[[#This Row],[اللبناني]]/90)</f>
        <v>0</v>
      </c>
      <c r="M169" s="6"/>
    </row>
    <row r="170" spans="8:13" s="8" customFormat="1" x14ac:dyDescent="0.3">
      <c r="H170" s="5" t="s">
        <v>144</v>
      </c>
      <c r="I170" s="21"/>
      <c r="J170" s="13"/>
      <c r="L170" s="26">
        <f>Table134567810111213141516171819202122232425262729[[#This Row],[الدولار]]+(Table134567810111213141516171819202122232425262729[[#This Row],[اللبناني]]/90)</f>
        <v>0</v>
      </c>
      <c r="M170" s="6"/>
    </row>
    <row r="171" spans="8:13" s="8" customFormat="1" x14ac:dyDescent="0.3">
      <c r="H171" s="5" t="s">
        <v>144</v>
      </c>
      <c r="I171" s="21"/>
      <c r="J171" s="13"/>
      <c r="L171" s="26">
        <f>Table134567810111213141516171819202122232425262729[[#This Row],[الدولار]]+(Table134567810111213141516171819202122232425262729[[#This Row],[اللبناني]]/90)</f>
        <v>0</v>
      </c>
      <c r="M171" s="6"/>
    </row>
    <row r="172" spans="8:13" s="8" customFormat="1" x14ac:dyDescent="0.3">
      <c r="H172" s="5" t="s">
        <v>144</v>
      </c>
      <c r="I172" s="21"/>
      <c r="J172" s="13"/>
      <c r="L172" s="26">
        <f>Table134567810111213141516171819202122232425262729[[#This Row],[الدولار]]+(Table134567810111213141516171819202122232425262729[[#This Row],[اللبناني]]/90)</f>
        <v>0</v>
      </c>
      <c r="M172" s="6"/>
    </row>
    <row r="173" spans="8:13" s="8" customFormat="1" x14ac:dyDescent="0.3">
      <c r="H173" s="5" t="s">
        <v>144</v>
      </c>
      <c r="I173" s="21"/>
      <c r="J173" s="13"/>
      <c r="L173" s="26">
        <f>Table134567810111213141516171819202122232425262729[[#This Row],[الدولار]]+(Table134567810111213141516171819202122232425262729[[#This Row],[اللبناني]]/90)</f>
        <v>0</v>
      </c>
      <c r="M173" s="6"/>
    </row>
    <row r="174" spans="8:13" s="8" customFormat="1" x14ac:dyDescent="0.3">
      <c r="H174" s="5" t="s">
        <v>144</v>
      </c>
      <c r="I174" s="21"/>
      <c r="J174" s="13"/>
      <c r="L174" s="26">
        <f>Table134567810111213141516171819202122232425262729[[#This Row],[الدولار]]+(Table134567810111213141516171819202122232425262729[[#This Row],[اللبناني]]/90)</f>
        <v>0</v>
      </c>
      <c r="M174" s="6"/>
    </row>
    <row r="175" spans="8:13" s="8" customFormat="1" x14ac:dyDescent="0.3">
      <c r="H175" s="5" t="s">
        <v>144</v>
      </c>
      <c r="I175" s="21"/>
      <c r="J175" s="13"/>
      <c r="L175" s="26">
        <f>Table134567810111213141516171819202122232425262729[[#This Row],[الدولار]]+(Table134567810111213141516171819202122232425262729[[#This Row],[اللبناني]]/90)</f>
        <v>0</v>
      </c>
      <c r="M175" s="6"/>
    </row>
    <row r="176" spans="8:13" s="8" customFormat="1" x14ac:dyDescent="0.3">
      <c r="H176" s="5" t="s">
        <v>144</v>
      </c>
      <c r="I176" s="21"/>
      <c r="J176" s="13"/>
      <c r="L176" s="26">
        <f>Table134567810111213141516171819202122232425262729[[#This Row],[الدولار]]+(Table134567810111213141516171819202122232425262729[[#This Row],[اللبناني]]/90)</f>
        <v>0</v>
      </c>
      <c r="M176" s="6"/>
    </row>
    <row r="177" spans="8:13" s="8" customFormat="1" x14ac:dyDescent="0.3">
      <c r="H177" s="5" t="s">
        <v>144</v>
      </c>
      <c r="I177" s="21"/>
      <c r="J177" s="13"/>
      <c r="L177" s="26">
        <f>Table134567810111213141516171819202122232425262729[[#This Row],[الدولار]]+(Table134567810111213141516171819202122232425262729[[#This Row],[اللبناني]]/90)</f>
        <v>0</v>
      </c>
      <c r="M177" s="6"/>
    </row>
    <row r="178" spans="8:13" s="8" customFormat="1" x14ac:dyDescent="0.3">
      <c r="H178" s="5" t="s">
        <v>144</v>
      </c>
      <c r="I178" s="21"/>
      <c r="J178" s="13"/>
      <c r="L178" s="26">
        <f>Table134567810111213141516171819202122232425262729[[#This Row],[الدولار]]+(Table134567810111213141516171819202122232425262729[[#This Row],[اللبناني]]/90)</f>
        <v>0</v>
      </c>
      <c r="M178" s="6"/>
    </row>
    <row r="179" spans="8:13" s="8" customFormat="1" x14ac:dyDescent="0.3">
      <c r="H179" s="5" t="s">
        <v>144</v>
      </c>
      <c r="I179" s="21"/>
      <c r="J179" s="13"/>
      <c r="L179" s="26">
        <f>Table134567810111213141516171819202122232425262729[[#This Row],[الدولار]]+(Table134567810111213141516171819202122232425262729[[#This Row],[اللبناني]]/90)</f>
        <v>0</v>
      </c>
      <c r="M179" s="6"/>
    </row>
    <row r="180" spans="8:13" s="8" customFormat="1" x14ac:dyDescent="0.3">
      <c r="H180" s="5" t="s">
        <v>144</v>
      </c>
      <c r="I180" s="21"/>
      <c r="J180" s="13"/>
      <c r="L180" s="26">
        <f>Table134567810111213141516171819202122232425262729[[#This Row],[الدولار]]+(Table134567810111213141516171819202122232425262729[[#This Row],[اللبناني]]/90)</f>
        <v>0</v>
      </c>
      <c r="M180" s="6"/>
    </row>
    <row r="181" spans="8:13" s="8" customFormat="1" x14ac:dyDescent="0.3">
      <c r="H181" s="5" t="s">
        <v>144</v>
      </c>
      <c r="I181" s="21"/>
      <c r="J181" s="13"/>
      <c r="L181" s="26">
        <f>Table134567810111213141516171819202122232425262729[[#This Row],[الدولار]]+(Table134567810111213141516171819202122232425262729[[#This Row],[اللبناني]]/90)</f>
        <v>0</v>
      </c>
      <c r="M181" s="6"/>
    </row>
    <row r="182" spans="8:13" s="8" customFormat="1" x14ac:dyDescent="0.3">
      <c r="H182" s="5" t="s">
        <v>144</v>
      </c>
      <c r="I182" s="21"/>
      <c r="J182" s="13"/>
      <c r="L182" s="26">
        <f>Table134567810111213141516171819202122232425262729[[#This Row],[الدولار]]+(Table134567810111213141516171819202122232425262729[[#This Row],[اللبناني]]/90)</f>
        <v>0</v>
      </c>
      <c r="M182" s="6"/>
    </row>
    <row r="183" spans="8:13" s="8" customFormat="1" x14ac:dyDescent="0.3">
      <c r="H183" s="5" t="s">
        <v>144</v>
      </c>
      <c r="I183" s="21"/>
      <c r="J183" s="13"/>
      <c r="L183" s="26">
        <f>Table134567810111213141516171819202122232425262729[[#This Row],[الدولار]]+(Table134567810111213141516171819202122232425262729[[#This Row],[اللبناني]]/90)</f>
        <v>0</v>
      </c>
      <c r="M183" s="6"/>
    </row>
    <row r="184" spans="8:13" s="8" customFormat="1" x14ac:dyDescent="0.3">
      <c r="H184" s="5" t="s">
        <v>144</v>
      </c>
      <c r="I184" s="21"/>
      <c r="J184" s="13"/>
      <c r="L184" s="26">
        <f>Table134567810111213141516171819202122232425262729[[#This Row],[الدولار]]+(Table134567810111213141516171819202122232425262729[[#This Row],[اللبناني]]/90)</f>
        <v>0</v>
      </c>
      <c r="M184" s="6"/>
    </row>
    <row r="185" spans="8:13" s="8" customFormat="1" x14ac:dyDescent="0.3">
      <c r="H185" s="5" t="s">
        <v>144</v>
      </c>
      <c r="I185" s="21"/>
      <c r="J185" s="13"/>
      <c r="L185" s="26">
        <f>Table134567810111213141516171819202122232425262729[[#This Row],[الدولار]]+(Table134567810111213141516171819202122232425262729[[#This Row],[اللبناني]]/90)</f>
        <v>0</v>
      </c>
      <c r="M185" s="6"/>
    </row>
    <row r="186" spans="8:13" s="8" customFormat="1" x14ac:dyDescent="0.3">
      <c r="H186" s="5" t="s">
        <v>144</v>
      </c>
      <c r="I186" s="21"/>
      <c r="J186" s="13"/>
      <c r="L186" s="26">
        <f>Table134567810111213141516171819202122232425262729[[#This Row],[الدولار]]+(Table134567810111213141516171819202122232425262729[[#This Row],[اللبناني]]/90)</f>
        <v>0</v>
      </c>
      <c r="M186" s="6"/>
    </row>
    <row r="187" spans="8:13" s="8" customFormat="1" x14ac:dyDescent="0.3">
      <c r="H187" s="5" t="s">
        <v>144</v>
      </c>
      <c r="I187" s="21"/>
      <c r="J187" s="13"/>
      <c r="L187" s="26">
        <f>Table134567810111213141516171819202122232425262729[[#This Row],[الدولار]]+(Table134567810111213141516171819202122232425262729[[#This Row],[اللبناني]]/90)</f>
        <v>0</v>
      </c>
      <c r="M187" s="6"/>
    </row>
    <row r="188" spans="8:13" s="8" customFormat="1" x14ac:dyDescent="0.3">
      <c r="H188" s="5" t="s">
        <v>144</v>
      </c>
      <c r="I188" s="21"/>
      <c r="J188" s="13"/>
      <c r="L188" s="26">
        <f>Table134567810111213141516171819202122232425262729[[#This Row],[الدولار]]+(Table134567810111213141516171819202122232425262729[[#This Row],[اللبناني]]/90)</f>
        <v>0</v>
      </c>
      <c r="M188" s="6"/>
    </row>
    <row r="189" spans="8:13" s="8" customFormat="1" x14ac:dyDescent="0.3">
      <c r="H189" s="5" t="s">
        <v>144</v>
      </c>
      <c r="I189" s="21"/>
      <c r="J189" s="13"/>
      <c r="L189" s="26">
        <f>Table134567810111213141516171819202122232425262729[[#This Row],[الدولار]]+(Table134567810111213141516171819202122232425262729[[#This Row],[اللبناني]]/90)</f>
        <v>0</v>
      </c>
      <c r="M189" s="6"/>
    </row>
    <row r="190" spans="8:13" s="8" customFormat="1" x14ac:dyDescent="0.3">
      <c r="H190" s="5" t="s">
        <v>144</v>
      </c>
      <c r="I190" s="21"/>
      <c r="J190" s="13"/>
      <c r="L190" s="26">
        <f>Table134567810111213141516171819202122232425262729[[#This Row],[الدولار]]+(Table134567810111213141516171819202122232425262729[[#This Row],[اللبناني]]/90)</f>
        <v>0</v>
      </c>
      <c r="M190" s="6"/>
    </row>
    <row r="191" spans="8:13" s="8" customFormat="1" x14ac:dyDescent="0.3">
      <c r="H191" s="5" t="s">
        <v>144</v>
      </c>
      <c r="I191" s="21"/>
      <c r="J191" s="13"/>
      <c r="L191" s="26">
        <f>Table134567810111213141516171819202122232425262729[[#This Row],[الدولار]]+(Table134567810111213141516171819202122232425262729[[#This Row],[اللبناني]]/90)</f>
        <v>0</v>
      </c>
      <c r="M191" s="6"/>
    </row>
    <row r="192" spans="8:13" s="8" customFormat="1" x14ac:dyDescent="0.3">
      <c r="H192" s="5" t="s">
        <v>144</v>
      </c>
      <c r="I192" s="21"/>
      <c r="J192" s="13"/>
      <c r="L192" s="26">
        <f>Table134567810111213141516171819202122232425262729[[#This Row],[الدولار]]+(Table134567810111213141516171819202122232425262729[[#This Row],[اللبناني]]/90)</f>
        <v>0</v>
      </c>
      <c r="M192" s="6"/>
    </row>
    <row r="193" spans="8:13" s="8" customFormat="1" x14ac:dyDescent="0.3">
      <c r="H193" s="5" t="s">
        <v>144</v>
      </c>
      <c r="I193" s="21"/>
      <c r="J193" s="13"/>
      <c r="L193" s="26">
        <f>Table134567810111213141516171819202122232425262729[[#This Row],[الدولار]]+(Table134567810111213141516171819202122232425262729[[#This Row],[اللبناني]]/90)</f>
        <v>0</v>
      </c>
      <c r="M193" s="6"/>
    </row>
    <row r="194" spans="8:13" s="8" customFormat="1" x14ac:dyDescent="0.3">
      <c r="H194" s="5" t="s">
        <v>144</v>
      </c>
      <c r="I194" s="21"/>
      <c r="J194" s="13"/>
      <c r="L194" s="26">
        <f>Table134567810111213141516171819202122232425262729[[#This Row],[الدولار]]+(Table134567810111213141516171819202122232425262729[[#This Row],[اللبناني]]/90)</f>
        <v>0</v>
      </c>
      <c r="M194" s="6"/>
    </row>
    <row r="195" spans="8:13" s="8" customFormat="1" x14ac:dyDescent="0.3">
      <c r="H195" s="5" t="s">
        <v>144</v>
      </c>
      <c r="I195" s="21"/>
      <c r="J195" s="13"/>
      <c r="L195" s="26">
        <f>Table134567810111213141516171819202122232425262729[[#This Row],[الدولار]]+(Table134567810111213141516171819202122232425262729[[#This Row],[اللبناني]]/90)</f>
        <v>0</v>
      </c>
      <c r="M195" s="6"/>
    </row>
    <row r="196" spans="8:13" s="8" customFormat="1" x14ac:dyDescent="0.3">
      <c r="H196" s="5" t="s">
        <v>144</v>
      </c>
      <c r="I196" s="21"/>
      <c r="J196" s="13"/>
      <c r="L196" s="26">
        <f>Table134567810111213141516171819202122232425262729[[#This Row],[الدولار]]+(Table134567810111213141516171819202122232425262729[[#This Row],[اللبناني]]/90)</f>
        <v>0</v>
      </c>
      <c r="M196" s="6"/>
    </row>
    <row r="197" spans="8:13" s="8" customFormat="1" x14ac:dyDescent="0.3">
      <c r="H197" s="5" t="s">
        <v>144</v>
      </c>
      <c r="I197" s="21"/>
      <c r="J197" s="13"/>
      <c r="L197" s="26">
        <f>Table134567810111213141516171819202122232425262729[[#This Row],[الدولار]]+(Table134567810111213141516171819202122232425262729[[#This Row],[اللبناني]]/90)</f>
        <v>0</v>
      </c>
      <c r="M197" s="6"/>
    </row>
    <row r="198" spans="8:13" s="8" customFormat="1" x14ac:dyDescent="0.3">
      <c r="H198" s="5" t="s">
        <v>144</v>
      </c>
      <c r="I198" s="21"/>
      <c r="J198" s="13"/>
      <c r="L198" s="26">
        <f>Table134567810111213141516171819202122232425262729[[#This Row],[الدولار]]+(Table134567810111213141516171819202122232425262729[[#This Row],[اللبناني]]/90)</f>
        <v>0</v>
      </c>
      <c r="M198" s="6"/>
    </row>
    <row r="199" spans="8:13" s="8" customFormat="1" x14ac:dyDescent="0.3">
      <c r="H199" s="5" t="s">
        <v>144</v>
      </c>
      <c r="I199" s="21"/>
      <c r="J199" s="13"/>
      <c r="L199" s="26">
        <f>Table134567810111213141516171819202122232425262729[[#This Row],[الدولار]]+(Table134567810111213141516171819202122232425262729[[#This Row],[اللبناني]]/90)</f>
        <v>0</v>
      </c>
      <c r="M199" s="6"/>
    </row>
    <row r="200" spans="8:13" s="8" customFormat="1" x14ac:dyDescent="0.3">
      <c r="H200" s="5" t="s">
        <v>144</v>
      </c>
      <c r="I200" s="21"/>
      <c r="J200" s="13"/>
      <c r="L200" s="26">
        <f>Table134567810111213141516171819202122232425262729[[#This Row],[الدولار]]+(Table134567810111213141516171819202122232425262729[[#This Row],[اللبناني]]/90)</f>
        <v>0</v>
      </c>
      <c r="M200" s="6"/>
    </row>
    <row r="201" spans="8:13" s="8" customFormat="1" x14ac:dyDescent="0.3">
      <c r="H201" s="5" t="s">
        <v>144</v>
      </c>
      <c r="I201" s="21"/>
      <c r="J201" s="13"/>
      <c r="L201" s="26">
        <f>Table134567810111213141516171819202122232425262729[[#This Row],[الدولار]]+(Table134567810111213141516171819202122232425262729[[#This Row],[اللبناني]]/90)</f>
        <v>0</v>
      </c>
      <c r="M201" s="6"/>
    </row>
    <row r="202" spans="8:13" s="8" customFormat="1" x14ac:dyDescent="0.3">
      <c r="H202" s="5" t="s">
        <v>144</v>
      </c>
      <c r="I202" s="21"/>
      <c r="J202" s="13"/>
      <c r="L202" s="26">
        <f>Table134567810111213141516171819202122232425262729[[#This Row],[الدولار]]+(Table134567810111213141516171819202122232425262729[[#This Row],[اللبناني]]/90)</f>
        <v>0</v>
      </c>
      <c r="M202" s="6"/>
    </row>
    <row r="203" spans="8:13" s="8" customFormat="1" x14ac:dyDescent="0.3">
      <c r="H203" s="5" t="s">
        <v>144</v>
      </c>
      <c r="I203" s="21"/>
      <c r="J203" s="13"/>
      <c r="L203" s="26">
        <f>Table134567810111213141516171819202122232425262729[[#This Row],[الدولار]]+(Table134567810111213141516171819202122232425262729[[#This Row],[اللبناني]]/90)</f>
        <v>0</v>
      </c>
      <c r="M203" s="6"/>
    </row>
    <row r="204" spans="8:13" s="8" customFormat="1" x14ac:dyDescent="0.3">
      <c r="H204" s="5" t="s">
        <v>144</v>
      </c>
      <c r="I204" s="21"/>
      <c r="J204" s="13"/>
      <c r="L204" s="26">
        <f>Table134567810111213141516171819202122232425262729[[#This Row],[الدولار]]+(Table134567810111213141516171819202122232425262729[[#This Row],[اللبناني]]/90)</f>
        <v>0</v>
      </c>
      <c r="M204" s="6"/>
    </row>
    <row r="205" spans="8:13" s="8" customFormat="1" x14ac:dyDescent="0.3">
      <c r="H205" s="5" t="s">
        <v>144</v>
      </c>
      <c r="I205" s="21"/>
      <c r="J205" s="13"/>
      <c r="L205" s="26">
        <f>Table134567810111213141516171819202122232425262729[[#This Row],[الدولار]]+(Table134567810111213141516171819202122232425262729[[#This Row],[اللبناني]]/90)</f>
        <v>0</v>
      </c>
      <c r="M205" s="6"/>
    </row>
    <row r="206" spans="8:13" s="8" customFormat="1" x14ac:dyDescent="0.3">
      <c r="H206" s="5" t="s">
        <v>144</v>
      </c>
      <c r="I206" s="21"/>
      <c r="J206" s="13"/>
      <c r="L206" s="26">
        <f>Table134567810111213141516171819202122232425262729[[#This Row],[الدولار]]+(Table134567810111213141516171819202122232425262729[[#This Row],[اللبناني]]/90)</f>
        <v>0</v>
      </c>
      <c r="M206" s="6"/>
    </row>
    <row r="207" spans="8:13" s="8" customFormat="1" x14ac:dyDescent="0.3">
      <c r="H207" s="5" t="s">
        <v>144</v>
      </c>
      <c r="I207" s="21"/>
      <c r="J207" s="13"/>
      <c r="L207" s="26">
        <f>Table134567810111213141516171819202122232425262729[[#This Row],[الدولار]]+(Table134567810111213141516171819202122232425262729[[#This Row],[اللبناني]]/90)</f>
        <v>0</v>
      </c>
      <c r="M207" s="6"/>
    </row>
    <row r="208" spans="8:13" s="8" customFormat="1" x14ac:dyDescent="0.3">
      <c r="H208" s="5" t="s">
        <v>144</v>
      </c>
      <c r="I208" s="21"/>
      <c r="J208" s="13"/>
      <c r="L208" s="26">
        <f>Table134567810111213141516171819202122232425262729[[#This Row],[الدولار]]+(Table134567810111213141516171819202122232425262729[[#This Row],[اللبناني]]/90)</f>
        <v>0</v>
      </c>
      <c r="M208" s="6"/>
    </row>
    <row r="209" spans="8:13" s="8" customFormat="1" x14ac:dyDescent="0.3">
      <c r="H209" s="5" t="s">
        <v>144</v>
      </c>
      <c r="I209" s="21"/>
      <c r="J209" s="13"/>
      <c r="L209" s="26">
        <f>Table134567810111213141516171819202122232425262729[[#This Row],[الدولار]]+(Table134567810111213141516171819202122232425262729[[#This Row],[اللبناني]]/90)</f>
        <v>0</v>
      </c>
      <c r="M209" s="6"/>
    </row>
    <row r="210" spans="8:13" s="8" customFormat="1" x14ac:dyDescent="0.3">
      <c r="H210" s="5" t="s">
        <v>144</v>
      </c>
      <c r="I210" s="21"/>
      <c r="J210" s="13"/>
      <c r="L210" s="26">
        <f>Table134567810111213141516171819202122232425262729[[#This Row],[الدولار]]+(Table134567810111213141516171819202122232425262729[[#This Row],[اللبناني]]/90)</f>
        <v>0</v>
      </c>
      <c r="M210" s="6"/>
    </row>
    <row r="211" spans="8:13" s="8" customFormat="1" x14ac:dyDescent="0.3">
      <c r="H211" s="5" t="s">
        <v>144</v>
      </c>
      <c r="I211" s="21"/>
      <c r="J211" s="13"/>
      <c r="L211" s="26">
        <f>Table134567810111213141516171819202122232425262729[[#This Row],[الدولار]]+(Table134567810111213141516171819202122232425262729[[#This Row],[اللبناني]]/90)</f>
        <v>0</v>
      </c>
      <c r="M211" s="6"/>
    </row>
    <row r="212" spans="8:13" s="8" customFormat="1" x14ac:dyDescent="0.3">
      <c r="H212" s="5" t="s">
        <v>144</v>
      </c>
      <c r="I212" s="21"/>
      <c r="J212" s="13"/>
      <c r="L212" s="26">
        <f>Table134567810111213141516171819202122232425262729[[#This Row],[الدولار]]+(Table134567810111213141516171819202122232425262729[[#This Row],[اللبناني]]/90)</f>
        <v>0</v>
      </c>
      <c r="M212" s="6"/>
    </row>
    <row r="213" spans="8:13" s="8" customFormat="1" x14ac:dyDescent="0.3">
      <c r="H213" s="5" t="s">
        <v>144</v>
      </c>
      <c r="I213" s="21"/>
      <c r="J213" s="13"/>
      <c r="L213" s="26">
        <f>Table134567810111213141516171819202122232425262729[[#This Row],[الدولار]]+(Table134567810111213141516171819202122232425262729[[#This Row],[اللبناني]]/90)</f>
        <v>0</v>
      </c>
      <c r="M213" s="6"/>
    </row>
    <row r="214" spans="8:13" s="8" customFormat="1" x14ac:dyDescent="0.3">
      <c r="H214" s="5" t="s">
        <v>144</v>
      </c>
      <c r="I214" s="21"/>
      <c r="J214" s="13"/>
      <c r="L214" s="26">
        <f>Table134567810111213141516171819202122232425262729[[#This Row],[الدولار]]+(Table134567810111213141516171819202122232425262729[[#This Row],[اللبناني]]/90)</f>
        <v>0</v>
      </c>
      <c r="M214" s="6"/>
    </row>
    <row r="215" spans="8:13" s="8" customFormat="1" x14ac:dyDescent="0.3">
      <c r="H215" s="5" t="s">
        <v>144</v>
      </c>
      <c r="I215" s="21"/>
      <c r="J215" s="13"/>
      <c r="L215" s="26">
        <f>Table134567810111213141516171819202122232425262729[[#This Row],[الدولار]]+(Table134567810111213141516171819202122232425262729[[#This Row],[اللبناني]]/90)</f>
        <v>0</v>
      </c>
      <c r="M215" s="6"/>
    </row>
    <row r="216" spans="8:13" s="8" customFormat="1" x14ac:dyDescent="0.3">
      <c r="H216" s="5" t="s">
        <v>144</v>
      </c>
      <c r="I216" s="21"/>
      <c r="J216" s="13"/>
      <c r="L216" s="26">
        <f>Table134567810111213141516171819202122232425262729[[#This Row],[الدولار]]+(Table134567810111213141516171819202122232425262729[[#This Row],[اللبناني]]/90)</f>
        <v>0</v>
      </c>
      <c r="M216" s="6"/>
    </row>
    <row r="217" spans="8:13" s="8" customFormat="1" x14ac:dyDescent="0.3">
      <c r="H217" s="5" t="s">
        <v>144</v>
      </c>
      <c r="I217" s="21"/>
      <c r="J217" s="13"/>
      <c r="L217" s="26">
        <f>Table134567810111213141516171819202122232425262729[[#This Row],[الدولار]]+(Table134567810111213141516171819202122232425262729[[#This Row],[اللبناني]]/90)</f>
        <v>0</v>
      </c>
      <c r="M217" s="6"/>
    </row>
    <row r="218" spans="8:13" s="8" customFormat="1" x14ac:dyDescent="0.3">
      <c r="H218" s="5" t="s">
        <v>144</v>
      </c>
      <c r="I218" s="21"/>
      <c r="J218" s="13"/>
      <c r="L218" s="26">
        <f>Table134567810111213141516171819202122232425262729[[#This Row],[الدولار]]+(Table134567810111213141516171819202122232425262729[[#This Row],[اللبناني]]/90)</f>
        <v>0</v>
      </c>
      <c r="M218" s="6"/>
    </row>
    <row r="219" spans="8:13" s="8" customFormat="1" x14ac:dyDescent="0.3">
      <c r="H219" s="5" t="s">
        <v>144</v>
      </c>
      <c r="I219" s="21"/>
      <c r="J219" s="13"/>
      <c r="L219" s="26">
        <f>Table134567810111213141516171819202122232425262729[[#This Row],[الدولار]]+(Table134567810111213141516171819202122232425262729[[#This Row],[اللبناني]]/90)</f>
        <v>0</v>
      </c>
      <c r="M219" s="6"/>
    </row>
    <row r="220" spans="8:13" s="8" customFormat="1" x14ac:dyDescent="0.3">
      <c r="H220" s="5" t="s">
        <v>144</v>
      </c>
      <c r="I220" s="21"/>
      <c r="J220" s="13"/>
      <c r="L220" s="26">
        <f>Table134567810111213141516171819202122232425262729[[#This Row],[الدولار]]+(Table134567810111213141516171819202122232425262729[[#This Row],[اللبناني]]/90)</f>
        <v>0</v>
      </c>
      <c r="M220" s="6"/>
    </row>
    <row r="221" spans="8:13" s="8" customFormat="1" x14ac:dyDescent="0.3">
      <c r="H221" s="5" t="s">
        <v>144</v>
      </c>
      <c r="I221" s="21"/>
      <c r="J221" s="13"/>
      <c r="L221" s="26">
        <f>Table134567810111213141516171819202122232425262729[[#This Row],[الدولار]]+(Table134567810111213141516171819202122232425262729[[#This Row],[اللبناني]]/90)</f>
        <v>0</v>
      </c>
      <c r="M221" s="6"/>
    </row>
    <row r="222" spans="8:13" s="8" customFormat="1" x14ac:dyDescent="0.3">
      <c r="H222" s="5" t="s">
        <v>144</v>
      </c>
      <c r="I222" s="21"/>
      <c r="J222" s="13"/>
      <c r="L222" s="26">
        <f>Table134567810111213141516171819202122232425262729[[#This Row],[الدولار]]+(Table134567810111213141516171819202122232425262729[[#This Row],[اللبناني]]/90)</f>
        <v>0</v>
      </c>
      <c r="M222" s="6"/>
    </row>
    <row r="223" spans="8:13" s="8" customFormat="1" x14ac:dyDescent="0.3">
      <c r="H223" s="5" t="s">
        <v>144</v>
      </c>
      <c r="I223" s="21"/>
      <c r="J223" s="13"/>
      <c r="L223" s="26">
        <f>Table134567810111213141516171819202122232425262729[[#This Row],[الدولار]]+(Table134567810111213141516171819202122232425262729[[#This Row],[اللبناني]]/90)</f>
        <v>0</v>
      </c>
      <c r="M223" s="6"/>
    </row>
    <row r="224" spans="8:13" s="8" customFormat="1" x14ac:dyDescent="0.3">
      <c r="H224" s="5" t="s">
        <v>144</v>
      </c>
      <c r="I224" s="21"/>
      <c r="J224" s="13"/>
      <c r="L224" s="26">
        <f>Table134567810111213141516171819202122232425262729[[#This Row],[الدولار]]+(Table134567810111213141516171819202122232425262729[[#This Row],[اللبناني]]/90)</f>
        <v>0</v>
      </c>
      <c r="M224" s="6"/>
    </row>
    <row r="225" spans="8:13" s="8" customFormat="1" x14ac:dyDescent="0.3">
      <c r="H225" s="5" t="s">
        <v>144</v>
      </c>
      <c r="I225" s="21"/>
      <c r="J225" s="13"/>
      <c r="L225" s="26">
        <f>Table134567810111213141516171819202122232425262729[[#This Row],[الدولار]]+(Table134567810111213141516171819202122232425262729[[#This Row],[اللبناني]]/90)</f>
        <v>0</v>
      </c>
      <c r="M225" s="6"/>
    </row>
    <row r="226" spans="8:13" s="8" customFormat="1" x14ac:dyDescent="0.3">
      <c r="H226" s="5" t="s">
        <v>144</v>
      </c>
      <c r="I226" s="21"/>
      <c r="J226" s="13"/>
      <c r="L226" s="26">
        <f>Table134567810111213141516171819202122232425262729[[#This Row],[الدولار]]+(Table134567810111213141516171819202122232425262729[[#This Row],[اللبناني]]/90)</f>
        <v>0</v>
      </c>
      <c r="M226" s="6"/>
    </row>
    <row r="227" spans="8:13" s="8" customFormat="1" x14ac:dyDescent="0.3">
      <c r="H227" s="5" t="s">
        <v>144</v>
      </c>
      <c r="I227" s="21"/>
      <c r="J227" s="13"/>
      <c r="L227" s="26">
        <f>Table134567810111213141516171819202122232425262729[[#This Row],[الدولار]]+(Table134567810111213141516171819202122232425262729[[#This Row],[اللبناني]]/90)</f>
        <v>0</v>
      </c>
      <c r="M227" s="6"/>
    </row>
    <row r="228" spans="8:13" s="8" customFormat="1" x14ac:dyDescent="0.3">
      <c r="H228" s="5" t="s">
        <v>144</v>
      </c>
      <c r="I228" s="21"/>
      <c r="J228" s="13"/>
      <c r="L228" s="26">
        <f>Table134567810111213141516171819202122232425262729[[#This Row],[الدولار]]+(Table134567810111213141516171819202122232425262729[[#This Row],[اللبناني]]/90)</f>
        <v>0</v>
      </c>
      <c r="M228" s="6"/>
    </row>
    <row r="229" spans="8:13" s="8" customFormat="1" x14ac:dyDescent="0.3">
      <c r="H229" s="5" t="s">
        <v>144</v>
      </c>
      <c r="I229" s="21"/>
      <c r="J229" s="13"/>
      <c r="L229" s="26">
        <f>Table134567810111213141516171819202122232425262729[[#This Row],[الدولار]]+(Table134567810111213141516171819202122232425262729[[#This Row],[اللبناني]]/90)</f>
        <v>0</v>
      </c>
      <c r="M229" s="6"/>
    </row>
    <row r="230" spans="8:13" s="8" customFormat="1" x14ac:dyDescent="0.3">
      <c r="H230" s="5" t="s">
        <v>144</v>
      </c>
      <c r="I230" s="21"/>
      <c r="J230" s="13"/>
      <c r="L230" s="26">
        <f>Table134567810111213141516171819202122232425262729[[#This Row],[الدولار]]+(Table134567810111213141516171819202122232425262729[[#This Row],[اللبناني]]/90)</f>
        <v>0</v>
      </c>
      <c r="M230" s="6"/>
    </row>
    <row r="231" spans="8:13" s="8" customFormat="1" x14ac:dyDescent="0.3">
      <c r="H231" s="5" t="s">
        <v>144</v>
      </c>
      <c r="I231" s="21"/>
      <c r="J231" s="13"/>
      <c r="L231" s="26">
        <f>Table134567810111213141516171819202122232425262729[[#This Row],[الدولار]]+(Table134567810111213141516171819202122232425262729[[#This Row],[اللبناني]]/90)</f>
        <v>0</v>
      </c>
      <c r="M231" s="6"/>
    </row>
    <row r="232" spans="8:13" s="8" customFormat="1" x14ac:dyDescent="0.3">
      <c r="H232" s="5" t="s">
        <v>144</v>
      </c>
      <c r="I232" s="21"/>
      <c r="J232" s="13"/>
      <c r="L232" s="26">
        <f>Table134567810111213141516171819202122232425262729[[#This Row],[الدولار]]+(Table134567810111213141516171819202122232425262729[[#This Row],[اللبناني]]/90)</f>
        <v>0</v>
      </c>
      <c r="M232" s="6"/>
    </row>
    <row r="233" spans="8:13" s="8" customFormat="1" x14ac:dyDescent="0.3">
      <c r="H233" s="5" t="s">
        <v>144</v>
      </c>
      <c r="I233" s="21"/>
      <c r="J233" s="13"/>
      <c r="L233" s="26">
        <f>Table134567810111213141516171819202122232425262729[[#This Row],[الدولار]]+(Table134567810111213141516171819202122232425262729[[#This Row],[اللبناني]]/90)</f>
        <v>0</v>
      </c>
      <c r="M233" s="6"/>
    </row>
    <row r="234" spans="8:13" s="8" customFormat="1" x14ac:dyDescent="0.3">
      <c r="H234" s="5" t="s">
        <v>144</v>
      </c>
      <c r="I234" s="21"/>
      <c r="J234" s="13"/>
      <c r="L234" s="26">
        <f>Table134567810111213141516171819202122232425262729[[#This Row],[الدولار]]+(Table134567810111213141516171819202122232425262729[[#This Row],[اللبناني]]/90)</f>
        <v>0</v>
      </c>
      <c r="M234" s="6"/>
    </row>
    <row r="235" spans="8:13" s="8" customFormat="1" x14ac:dyDescent="0.3">
      <c r="H235" s="5" t="s">
        <v>144</v>
      </c>
      <c r="I235" s="21"/>
      <c r="J235" s="13"/>
      <c r="L235" s="26">
        <f>Table134567810111213141516171819202122232425262729[[#This Row],[الدولار]]+(Table134567810111213141516171819202122232425262729[[#This Row],[اللبناني]]/90)</f>
        <v>0</v>
      </c>
      <c r="M235" s="6"/>
    </row>
    <row r="236" spans="8:13" s="8" customFormat="1" x14ac:dyDescent="0.3">
      <c r="H236" s="5" t="s">
        <v>144</v>
      </c>
      <c r="I236" s="21"/>
      <c r="J236" s="13"/>
      <c r="L236" s="26">
        <f>Table134567810111213141516171819202122232425262729[[#This Row],[الدولار]]+(Table134567810111213141516171819202122232425262729[[#This Row],[اللبناني]]/90)</f>
        <v>0</v>
      </c>
      <c r="M236" s="6"/>
    </row>
    <row r="237" spans="8:13" s="8" customFormat="1" x14ac:dyDescent="0.3">
      <c r="H237" s="5" t="s">
        <v>144</v>
      </c>
      <c r="I237" s="21"/>
      <c r="J237" s="13"/>
      <c r="L237" s="26">
        <f>Table134567810111213141516171819202122232425262729[[#This Row],[الدولار]]+(Table134567810111213141516171819202122232425262729[[#This Row],[اللبناني]]/90)</f>
        <v>0</v>
      </c>
      <c r="M237" s="6"/>
    </row>
    <row r="238" spans="8:13" s="8" customFormat="1" x14ac:dyDescent="0.3">
      <c r="H238" s="5" t="s">
        <v>144</v>
      </c>
      <c r="I238" s="21"/>
      <c r="J238" s="13"/>
      <c r="L238" s="26">
        <f>Table134567810111213141516171819202122232425262729[[#This Row],[الدولار]]+(Table134567810111213141516171819202122232425262729[[#This Row],[اللبناني]]/90)</f>
        <v>0</v>
      </c>
      <c r="M238" s="6"/>
    </row>
    <row r="239" spans="8:13" s="8" customFormat="1" x14ac:dyDescent="0.3">
      <c r="H239" s="5" t="s">
        <v>144</v>
      </c>
      <c r="I239" s="21"/>
      <c r="J239" s="13"/>
      <c r="L239" s="26">
        <f>Table134567810111213141516171819202122232425262729[[#This Row],[الدولار]]+(Table134567810111213141516171819202122232425262729[[#This Row],[اللبناني]]/90)</f>
        <v>0</v>
      </c>
      <c r="M239" s="6"/>
    </row>
    <row r="240" spans="8:13" s="8" customFormat="1" x14ac:dyDescent="0.3">
      <c r="H240" s="5" t="s">
        <v>144</v>
      </c>
      <c r="I240" s="21"/>
      <c r="J240" s="13"/>
      <c r="L240" s="26">
        <f>Table134567810111213141516171819202122232425262729[[#This Row],[الدولار]]+(Table134567810111213141516171819202122232425262729[[#This Row],[اللبناني]]/90)</f>
        <v>0</v>
      </c>
      <c r="M240" s="6"/>
    </row>
    <row r="241" spans="8:13" s="8" customFormat="1" x14ac:dyDescent="0.3">
      <c r="H241" s="5" t="s">
        <v>144</v>
      </c>
      <c r="I241" s="21"/>
      <c r="J241" s="13"/>
      <c r="L241" s="26">
        <f>Table134567810111213141516171819202122232425262729[[#This Row],[الدولار]]+(Table134567810111213141516171819202122232425262729[[#This Row],[اللبناني]]/90)</f>
        <v>0</v>
      </c>
      <c r="M241" s="6"/>
    </row>
    <row r="242" spans="8:13" s="8" customFormat="1" x14ac:dyDescent="0.3">
      <c r="H242" s="5" t="s">
        <v>144</v>
      </c>
      <c r="I242" s="21"/>
      <c r="J242" s="13"/>
      <c r="L242" s="26">
        <f>Table134567810111213141516171819202122232425262729[[#This Row],[الدولار]]+(Table134567810111213141516171819202122232425262729[[#This Row],[اللبناني]]/90)</f>
        <v>0</v>
      </c>
      <c r="M242" s="6"/>
    </row>
    <row r="243" spans="8:13" s="8" customFormat="1" x14ac:dyDescent="0.3">
      <c r="H243" s="5" t="s">
        <v>144</v>
      </c>
      <c r="I243" s="21"/>
      <c r="J243" s="13"/>
      <c r="L243" s="26">
        <f>Table134567810111213141516171819202122232425262729[[#This Row],[الدولار]]+(Table134567810111213141516171819202122232425262729[[#This Row],[اللبناني]]/90)</f>
        <v>0</v>
      </c>
      <c r="M243" s="6"/>
    </row>
    <row r="244" spans="8:13" s="8" customFormat="1" x14ac:dyDescent="0.3">
      <c r="H244" s="5" t="s">
        <v>144</v>
      </c>
      <c r="I244" s="21"/>
      <c r="J244" s="13"/>
      <c r="L244" s="26">
        <f>Table134567810111213141516171819202122232425262729[[#This Row],[الدولار]]+(Table134567810111213141516171819202122232425262729[[#This Row],[اللبناني]]/90)</f>
        <v>0</v>
      </c>
      <c r="M244" s="6"/>
    </row>
    <row r="245" spans="8:13" s="8" customFormat="1" x14ac:dyDescent="0.3">
      <c r="H245" s="5" t="s">
        <v>144</v>
      </c>
      <c r="I245" s="21"/>
      <c r="J245" s="13"/>
      <c r="L245" s="26">
        <f>Table134567810111213141516171819202122232425262729[[#This Row],[الدولار]]+(Table134567810111213141516171819202122232425262729[[#This Row],[اللبناني]]/90)</f>
        <v>0</v>
      </c>
      <c r="M245" s="6"/>
    </row>
    <row r="246" spans="8:13" s="8" customFormat="1" x14ac:dyDescent="0.3">
      <c r="H246" s="5" t="s">
        <v>144</v>
      </c>
      <c r="I246" s="21"/>
      <c r="J246" s="13"/>
      <c r="L246" s="26">
        <f>Table134567810111213141516171819202122232425262729[[#This Row],[الدولار]]+(Table134567810111213141516171819202122232425262729[[#This Row],[اللبناني]]/90)</f>
        <v>0</v>
      </c>
      <c r="M246" s="6"/>
    </row>
    <row r="247" spans="8:13" s="8" customFormat="1" x14ac:dyDescent="0.3">
      <c r="H247" s="5" t="s">
        <v>144</v>
      </c>
      <c r="I247" s="21"/>
      <c r="J247" s="13"/>
      <c r="L247" s="26">
        <f>Table134567810111213141516171819202122232425262729[[#This Row],[الدولار]]+(Table134567810111213141516171819202122232425262729[[#This Row],[اللبناني]]/90)</f>
        <v>0</v>
      </c>
      <c r="M247" s="6"/>
    </row>
    <row r="248" spans="8:13" s="8" customFormat="1" x14ac:dyDescent="0.3">
      <c r="H248" s="5" t="s">
        <v>144</v>
      </c>
      <c r="I248" s="21"/>
      <c r="J248" s="13"/>
      <c r="L248" s="26">
        <f>Table134567810111213141516171819202122232425262729[[#This Row],[الدولار]]+(Table134567810111213141516171819202122232425262729[[#This Row],[اللبناني]]/90)</f>
        <v>0</v>
      </c>
      <c r="M248" s="6"/>
    </row>
    <row r="249" spans="8:13" s="8" customFormat="1" x14ac:dyDescent="0.3">
      <c r="H249" s="5" t="s">
        <v>144</v>
      </c>
      <c r="I249" s="21"/>
      <c r="J249" s="13"/>
      <c r="L249" s="26">
        <f>Table134567810111213141516171819202122232425262729[[#This Row],[الدولار]]+(Table134567810111213141516171819202122232425262729[[#This Row],[اللبناني]]/90)</f>
        <v>0</v>
      </c>
      <c r="M249" s="6"/>
    </row>
    <row r="250" spans="8:13" s="8" customFormat="1" x14ac:dyDescent="0.3">
      <c r="H250" s="5" t="s">
        <v>144</v>
      </c>
      <c r="I250" s="21"/>
      <c r="J250" s="13"/>
      <c r="L250" s="26">
        <f>Table134567810111213141516171819202122232425262729[[#This Row],[الدولار]]+(Table134567810111213141516171819202122232425262729[[#This Row],[اللبناني]]/90)</f>
        <v>0</v>
      </c>
      <c r="M250" s="6"/>
    </row>
    <row r="251" spans="8:13" s="8" customFormat="1" x14ac:dyDescent="0.3">
      <c r="H251" s="5" t="s">
        <v>144</v>
      </c>
      <c r="I251" s="21"/>
      <c r="J251" s="13"/>
      <c r="L251" s="26">
        <f>Table134567810111213141516171819202122232425262729[[#This Row],[الدولار]]+(Table134567810111213141516171819202122232425262729[[#This Row],[اللبناني]]/90)</f>
        <v>0</v>
      </c>
      <c r="M251" s="6"/>
    </row>
    <row r="252" spans="8:13" s="8" customFormat="1" x14ac:dyDescent="0.3">
      <c r="H252" s="5" t="s">
        <v>144</v>
      </c>
      <c r="I252" s="21"/>
      <c r="J252" s="13"/>
      <c r="L252" s="26">
        <f>Table134567810111213141516171819202122232425262729[[#This Row],[الدولار]]+(Table134567810111213141516171819202122232425262729[[#This Row],[اللبناني]]/90)</f>
        <v>0</v>
      </c>
      <c r="M252" s="6"/>
    </row>
    <row r="253" spans="8:13" s="8" customFormat="1" x14ac:dyDescent="0.3">
      <c r="H253" s="5" t="s">
        <v>144</v>
      </c>
      <c r="I253" s="21"/>
      <c r="J253" s="13"/>
      <c r="L253" s="26">
        <f>Table134567810111213141516171819202122232425262729[[#This Row],[الدولار]]+(Table134567810111213141516171819202122232425262729[[#This Row],[اللبناني]]/90)</f>
        <v>0</v>
      </c>
      <c r="M253" s="6"/>
    </row>
    <row r="254" spans="8:13" s="8" customFormat="1" x14ac:dyDescent="0.3">
      <c r="H254" s="5" t="s">
        <v>144</v>
      </c>
      <c r="I254" s="21"/>
      <c r="J254" s="13"/>
      <c r="L254" s="26">
        <f>Table134567810111213141516171819202122232425262729[[#This Row],[الدولار]]+(Table134567810111213141516171819202122232425262729[[#This Row],[اللبناني]]/90)</f>
        <v>0</v>
      </c>
      <c r="M254" s="6"/>
    </row>
    <row r="255" spans="8:13" s="8" customFormat="1" x14ac:dyDescent="0.3">
      <c r="H255" s="5" t="s">
        <v>144</v>
      </c>
      <c r="I255" s="21"/>
      <c r="J255" s="13"/>
      <c r="L255" s="26">
        <f>Table134567810111213141516171819202122232425262729[[#This Row],[الدولار]]+(Table134567810111213141516171819202122232425262729[[#This Row],[اللبناني]]/90)</f>
        <v>0</v>
      </c>
      <c r="M255" s="6"/>
    </row>
    <row r="256" spans="8:13" s="8" customFormat="1" x14ac:dyDescent="0.3">
      <c r="H256" s="5" t="s">
        <v>144</v>
      </c>
      <c r="I256" s="21"/>
      <c r="J256" s="13"/>
      <c r="L256" s="26">
        <f>Table134567810111213141516171819202122232425262729[[#This Row],[الدولار]]+(Table134567810111213141516171819202122232425262729[[#This Row],[اللبناني]]/90)</f>
        <v>0</v>
      </c>
      <c r="M256" s="6"/>
    </row>
    <row r="257" spans="8:13" s="8" customFormat="1" x14ac:dyDescent="0.3">
      <c r="H257" s="5" t="s">
        <v>144</v>
      </c>
      <c r="I257" s="21"/>
      <c r="J257" s="13"/>
      <c r="L257" s="26">
        <f>Table134567810111213141516171819202122232425262729[[#This Row],[الدولار]]+(Table134567810111213141516171819202122232425262729[[#This Row],[اللبناني]]/90)</f>
        <v>0</v>
      </c>
      <c r="M257" s="6"/>
    </row>
    <row r="258" spans="8:13" s="8" customFormat="1" x14ac:dyDescent="0.3">
      <c r="H258" s="5" t="s">
        <v>144</v>
      </c>
      <c r="I258" s="21"/>
      <c r="J258" s="13"/>
      <c r="L258" s="26">
        <f>Table134567810111213141516171819202122232425262729[[#This Row],[الدولار]]+(Table134567810111213141516171819202122232425262729[[#This Row],[اللبناني]]/90)</f>
        <v>0</v>
      </c>
      <c r="M258" s="6"/>
    </row>
    <row r="259" spans="8:13" s="8" customFormat="1" x14ac:dyDescent="0.3">
      <c r="H259" s="5" t="s">
        <v>144</v>
      </c>
      <c r="I259" s="21"/>
      <c r="J259" s="13"/>
      <c r="L259" s="26">
        <f>Table134567810111213141516171819202122232425262729[[#This Row],[الدولار]]+(Table134567810111213141516171819202122232425262729[[#This Row],[اللبناني]]/90)</f>
        <v>0</v>
      </c>
      <c r="M259" s="6"/>
    </row>
    <row r="260" spans="8:13" s="8" customFormat="1" x14ac:dyDescent="0.3">
      <c r="H260" s="5" t="s">
        <v>144</v>
      </c>
      <c r="I260" s="21"/>
      <c r="J260" s="13"/>
      <c r="L260" s="26">
        <f>Table134567810111213141516171819202122232425262729[[#This Row],[الدولار]]+(Table134567810111213141516171819202122232425262729[[#This Row],[اللبناني]]/90)</f>
        <v>0</v>
      </c>
      <c r="M260" s="6"/>
    </row>
    <row r="261" spans="8:13" s="8" customFormat="1" x14ac:dyDescent="0.3">
      <c r="H261" s="5" t="s">
        <v>144</v>
      </c>
      <c r="I261" s="21"/>
      <c r="J261" s="13"/>
      <c r="L261" s="26">
        <f>Table134567810111213141516171819202122232425262729[[#This Row],[الدولار]]+(Table134567810111213141516171819202122232425262729[[#This Row],[اللبناني]]/90)</f>
        <v>0</v>
      </c>
      <c r="M261" s="6"/>
    </row>
    <row r="262" spans="8:13" s="8" customFormat="1" x14ac:dyDescent="0.3">
      <c r="H262" s="5" t="s">
        <v>144</v>
      </c>
      <c r="I262" s="21"/>
      <c r="J262" s="13"/>
      <c r="L262" s="26">
        <f>Table134567810111213141516171819202122232425262729[[#This Row],[الدولار]]+(Table134567810111213141516171819202122232425262729[[#This Row],[اللبناني]]/90)</f>
        <v>0</v>
      </c>
      <c r="M262" s="6"/>
    </row>
    <row r="263" spans="8:13" s="8" customFormat="1" x14ac:dyDescent="0.3">
      <c r="H263" s="5" t="s">
        <v>144</v>
      </c>
      <c r="I263" s="21"/>
      <c r="J263" s="13"/>
      <c r="L263" s="26">
        <f>Table134567810111213141516171819202122232425262729[[#This Row],[الدولار]]+(Table134567810111213141516171819202122232425262729[[#This Row],[اللبناني]]/90)</f>
        <v>0</v>
      </c>
      <c r="M263" s="6"/>
    </row>
    <row r="264" spans="8:13" s="8" customFormat="1" x14ac:dyDescent="0.3">
      <c r="H264" s="5" t="s">
        <v>144</v>
      </c>
      <c r="I264" s="21"/>
      <c r="J264" s="13"/>
      <c r="L264" s="26">
        <f>Table134567810111213141516171819202122232425262729[[#This Row],[الدولار]]+(Table134567810111213141516171819202122232425262729[[#This Row],[اللبناني]]/90)</f>
        <v>0</v>
      </c>
      <c r="M264" s="6"/>
    </row>
    <row r="265" spans="8:13" s="8" customFormat="1" x14ac:dyDescent="0.3">
      <c r="H265" s="5" t="s">
        <v>144</v>
      </c>
      <c r="I265" s="21"/>
      <c r="J265" s="13"/>
      <c r="L265" s="26">
        <f>Table134567810111213141516171819202122232425262729[[#This Row],[الدولار]]+(Table134567810111213141516171819202122232425262729[[#This Row],[اللبناني]]/90)</f>
        <v>0</v>
      </c>
      <c r="M265" s="6"/>
    </row>
    <row r="266" spans="8:13" s="8" customFormat="1" x14ac:dyDescent="0.3">
      <c r="H266" s="5" t="s">
        <v>144</v>
      </c>
      <c r="I266" s="21"/>
      <c r="J266" s="13"/>
      <c r="L266" s="26">
        <f>Table134567810111213141516171819202122232425262729[[#This Row],[الدولار]]+(Table134567810111213141516171819202122232425262729[[#This Row],[اللبناني]]/90)</f>
        <v>0</v>
      </c>
      <c r="M266" s="6"/>
    </row>
    <row r="267" spans="8:13" s="8" customFormat="1" x14ac:dyDescent="0.3">
      <c r="H267" s="5" t="s">
        <v>144</v>
      </c>
      <c r="I267" s="21"/>
      <c r="J267" s="13"/>
      <c r="L267" s="26">
        <f>Table134567810111213141516171819202122232425262729[[#This Row],[الدولار]]+(Table134567810111213141516171819202122232425262729[[#This Row],[اللبناني]]/90)</f>
        <v>0</v>
      </c>
      <c r="M267" s="6"/>
    </row>
    <row r="268" spans="8:13" s="8" customFormat="1" x14ac:dyDescent="0.3">
      <c r="H268" s="5" t="s">
        <v>144</v>
      </c>
      <c r="I268" s="21"/>
      <c r="J268" s="13"/>
      <c r="L268" s="26">
        <f>Table134567810111213141516171819202122232425262729[[#This Row],[الدولار]]+(Table134567810111213141516171819202122232425262729[[#This Row],[اللبناني]]/90)</f>
        <v>0</v>
      </c>
      <c r="M268" s="6"/>
    </row>
    <row r="269" spans="8:13" s="8" customFormat="1" x14ac:dyDescent="0.3">
      <c r="H269" s="5" t="s">
        <v>144</v>
      </c>
      <c r="I269" s="21"/>
      <c r="J269" s="13"/>
      <c r="L269" s="26">
        <f>Table134567810111213141516171819202122232425262729[[#This Row],[الدولار]]+(Table134567810111213141516171819202122232425262729[[#This Row],[اللبناني]]/90)</f>
        <v>0</v>
      </c>
      <c r="M269" s="6"/>
    </row>
    <row r="270" spans="8:13" s="8" customFormat="1" x14ac:dyDescent="0.3">
      <c r="H270" s="5" t="s">
        <v>144</v>
      </c>
      <c r="I270" s="21"/>
      <c r="J270" s="13"/>
      <c r="L270" s="26">
        <f>Table134567810111213141516171819202122232425262729[[#This Row],[الدولار]]+(Table134567810111213141516171819202122232425262729[[#This Row],[اللبناني]]/90)</f>
        <v>0</v>
      </c>
      <c r="M270" s="6"/>
    </row>
    <row r="271" spans="8:13" s="8" customFormat="1" x14ac:dyDescent="0.3">
      <c r="H271" s="5" t="s">
        <v>144</v>
      </c>
      <c r="I271" s="21"/>
      <c r="J271" s="13"/>
      <c r="L271" s="26">
        <f>Table134567810111213141516171819202122232425262729[[#This Row],[الدولار]]+(Table134567810111213141516171819202122232425262729[[#This Row],[اللبناني]]/90)</f>
        <v>0</v>
      </c>
      <c r="M271" s="6"/>
    </row>
    <row r="272" spans="8:13" s="8" customFormat="1" x14ac:dyDescent="0.3">
      <c r="H272" s="5" t="s">
        <v>144</v>
      </c>
      <c r="I272" s="21"/>
      <c r="J272" s="13"/>
      <c r="L272" s="26">
        <f>Table134567810111213141516171819202122232425262729[[#This Row],[الدولار]]+(Table134567810111213141516171819202122232425262729[[#This Row],[اللبناني]]/90)</f>
        <v>0</v>
      </c>
      <c r="M272" s="6"/>
    </row>
    <row r="273" spans="8:13" s="8" customFormat="1" x14ac:dyDescent="0.3">
      <c r="H273" s="5" t="s">
        <v>144</v>
      </c>
      <c r="I273" s="21"/>
      <c r="J273" s="13"/>
      <c r="L273" s="26">
        <f>Table134567810111213141516171819202122232425262729[[#This Row],[الدولار]]+(Table134567810111213141516171819202122232425262729[[#This Row],[اللبناني]]/90)</f>
        <v>0</v>
      </c>
      <c r="M273" s="6"/>
    </row>
    <row r="274" spans="8:13" s="8" customFormat="1" x14ac:dyDescent="0.3">
      <c r="H274" s="5" t="s">
        <v>144</v>
      </c>
      <c r="I274" s="21"/>
      <c r="J274" s="13"/>
      <c r="L274" s="26">
        <f>Table134567810111213141516171819202122232425262729[[#This Row],[الدولار]]+(Table134567810111213141516171819202122232425262729[[#This Row],[اللبناني]]/90)</f>
        <v>0</v>
      </c>
      <c r="M274" s="6"/>
    </row>
    <row r="275" spans="8:13" s="8" customFormat="1" x14ac:dyDescent="0.3">
      <c r="H275" s="5" t="s">
        <v>144</v>
      </c>
      <c r="I275" s="21"/>
      <c r="J275" s="13"/>
      <c r="L275" s="26">
        <f>Table134567810111213141516171819202122232425262729[[#This Row],[الدولار]]+(Table134567810111213141516171819202122232425262729[[#This Row],[اللبناني]]/90)</f>
        <v>0</v>
      </c>
      <c r="M275" s="6"/>
    </row>
    <row r="276" spans="8:13" s="8" customFormat="1" x14ac:dyDescent="0.3">
      <c r="H276" s="5" t="s">
        <v>144</v>
      </c>
      <c r="I276" s="21"/>
      <c r="J276" s="13"/>
      <c r="L276" s="26">
        <f>Table134567810111213141516171819202122232425262729[[#This Row],[الدولار]]+(Table134567810111213141516171819202122232425262729[[#This Row],[اللبناني]]/90)</f>
        <v>0</v>
      </c>
      <c r="M276" s="6"/>
    </row>
    <row r="277" spans="8:13" s="8" customFormat="1" x14ac:dyDescent="0.3">
      <c r="H277" s="5" t="s">
        <v>144</v>
      </c>
      <c r="I277" s="21"/>
      <c r="J277" s="13"/>
      <c r="L277" s="26">
        <f>Table134567810111213141516171819202122232425262729[[#This Row],[الدولار]]+(Table134567810111213141516171819202122232425262729[[#This Row],[اللبناني]]/90)</f>
        <v>0</v>
      </c>
      <c r="M277" s="6"/>
    </row>
    <row r="278" spans="8:13" s="8" customFormat="1" x14ac:dyDescent="0.3">
      <c r="H278" s="5" t="s">
        <v>144</v>
      </c>
      <c r="I278" s="21"/>
      <c r="J278" s="13"/>
      <c r="L278" s="26">
        <f>Table134567810111213141516171819202122232425262729[[#This Row],[الدولار]]+(Table134567810111213141516171819202122232425262729[[#This Row],[اللبناني]]/90)</f>
        <v>0</v>
      </c>
      <c r="M278" s="6"/>
    </row>
    <row r="279" spans="8:13" s="8" customFormat="1" x14ac:dyDescent="0.3">
      <c r="H279" s="5" t="s">
        <v>144</v>
      </c>
      <c r="I279" s="21"/>
      <c r="J279" s="13"/>
      <c r="L279" s="26">
        <f>Table134567810111213141516171819202122232425262729[[#This Row],[الدولار]]+(Table134567810111213141516171819202122232425262729[[#This Row],[اللبناني]]/90)</f>
        <v>0</v>
      </c>
      <c r="M279" s="6"/>
    </row>
    <row r="280" spans="8:13" s="8" customFormat="1" x14ac:dyDescent="0.3">
      <c r="H280" s="5" t="s">
        <v>144</v>
      </c>
      <c r="I280" s="21"/>
      <c r="J280" s="13"/>
      <c r="L280" s="26">
        <f>Table134567810111213141516171819202122232425262729[[#This Row],[الدولار]]+(Table134567810111213141516171819202122232425262729[[#This Row],[اللبناني]]/90)</f>
        <v>0</v>
      </c>
      <c r="M280" s="6"/>
    </row>
    <row r="281" spans="8:13" s="8" customFormat="1" x14ac:dyDescent="0.3">
      <c r="H281" s="5" t="s">
        <v>144</v>
      </c>
      <c r="I281" s="21"/>
      <c r="J281" s="13"/>
      <c r="L281" s="26">
        <f>Table134567810111213141516171819202122232425262729[[#This Row],[الدولار]]+(Table134567810111213141516171819202122232425262729[[#This Row],[اللبناني]]/90)</f>
        <v>0</v>
      </c>
      <c r="M281" s="6"/>
    </row>
    <row r="282" spans="8:13" s="8" customFormat="1" x14ac:dyDescent="0.3">
      <c r="H282" s="5" t="s">
        <v>144</v>
      </c>
      <c r="I282" s="21"/>
      <c r="J282" s="13"/>
      <c r="L282" s="26">
        <f>Table134567810111213141516171819202122232425262729[[#This Row],[الدولار]]+(Table134567810111213141516171819202122232425262729[[#This Row],[اللبناني]]/90)</f>
        <v>0</v>
      </c>
      <c r="M282" s="6"/>
    </row>
    <row r="283" spans="8:13" s="8" customFormat="1" x14ac:dyDescent="0.3">
      <c r="H283" s="5" t="s">
        <v>144</v>
      </c>
      <c r="I283" s="21"/>
      <c r="J283" s="13"/>
      <c r="L283" s="26">
        <f>Table134567810111213141516171819202122232425262729[[#This Row],[الدولار]]+(Table134567810111213141516171819202122232425262729[[#This Row],[اللبناني]]/90)</f>
        <v>0</v>
      </c>
      <c r="M283" s="6"/>
    </row>
    <row r="284" spans="8:13" s="8" customFormat="1" x14ac:dyDescent="0.3">
      <c r="H284" s="5" t="s">
        <v>144</v>
      </c>
      <c r="I284" s="21"/>
      <c r="J284" s="13"/>
      <c r="L284" s="26">
        <f>Table134567810111213141516171819202122232425262729[[#This Row],[الدولار]]+(Table134567810111213141516171819202122232425262729[[#This Row],[اللبناني]]/90)</f>
        <v>0</v>
      </c>
      <c r="M284" s="6"/>
    </row>
    <row r="285" spans="8:13" s="8" customFormat="1" x14ac:dyDescent="0.3">
      <c r="H285" s="5" t="s">
        <v>144</v>
      </c>
      <c r="I285" s="21"/>
      <c r="J285" s="13"/>
      <c r="L285" s="26">
        <f>Table134567810111213141516171819202122232425262729[[#This Row],[الدولار]]+(Table134567810111213141516171819202122232425262729[[#This Row],[اللبناني]]/90)</f>
        <v>0</v>
      </c>
      <c r="M285" s="6"/>
    </row>
    <row r="286" spans="8:13" s="8" customFormat="1" x14ac:dyDescent="0.3">
      <c r="H286" s="5" t="s">
        <v>144</v>
      </c>
      <c r="I286" s="21"/>
      <c r="J286" s="13"/>
      <c r="L286" s="26">
        <f>Table134567810111213141516171819202122232425262729[[#This Row],[الدولار]]+(Table134567810111213141516171819202122232425262729[[#This Row],[اللبناني]]/90)</f>
        <v>0</v>
      </c>
      <c r="M286" s="6"/>
    </row>
    <row r="287" spans="8:13" s="8" customFormat="1" x14ac:dyDescent="0.3">
      <c r="H287" s="5" t="s">
        <v>144</v>
      </c>
      <c r="I287" s="21"/>
      <c r="J287" s="13"/>
      <c r="L287" s="26">
        <f>Table134567810111213141516171819202122232425262729[[#This Row],[الدولار]]+(Table134567810111213141516171819202122232425262729[[#This Row],[اللبناني]]/90)</f>
        <v>0</v>
      </c>
      <c r="M287" s="6"/>
    </row>
    <row r="288" spans="8:13" s="8" customFormat="1" x14ac:dyDescent="0.3">
      <c r="H288" s="5" t="s">
        <v>144</v>
      </c>
      <c r="I288" s="21"/>
      <c r="J288" s="13"/>
      <c r="L288" s="26">
        <f>Table134567810111213141516171819202122232425262729[[#This Row],[الدولار]]+(Table134567810111213141516171819202122232425262729[[#This Row],[اللبناني]]/90)</f>
        <v>0</v>
      </c>
      <c r="M288" s="6"/>
    </row>
    <row r="289" spans="8:13" s="8" customFormat="1" x14ac:dyDescent="0.3">
      <c r="H289" s="5" t="s">
        <v>144</v>
      </c>
      <c r="I289" s="21"/>
      <c r="J289" s="13"/>
      <c r="L289" s="26">
        <f>Table134567810111213141516171819202122232425262729[[#This Row],[الدولار]]+(Table134567810111213141516171819202122232425262729[[#This Row],[اللبناني]]/90)</f>
        <v>0</v>
      </c>
      <c r="M289" s="6"/>
    </row>
    <row r="290" spans="8:13" s="8" customFormat="1" x14ac:dyDescent="0.3">
      <c r="H290" s="5" t="s">
        <v>144</v>
      </c>
      <c r="I290" s="21"/>
      <c r="J290" s="13"/>
      <c r="L290" s="26">
        <f>Table134567810111213141516171819202122232425262729[[#This Row],[الدولار]]+(Table134567810111213141516171819202122232425262729[[#This Row],[اللبناني]]/90)</f>
        <v>0</v>
      </c>
      <c r="M290" s="6"/>
    </row>
    <row r="291" spans="8:13" s="8" customFormat="1" x14ac:dyDescent="0.3">
      <c r="H291" s="5" t="s">
        <v>144</v>
      </c>
      <c r="I291" s="21"/>
      <c r="J291" s="13"/>
      <c r="L291" s="26">
        <f>Table134567810111213141516171819202122232425262729[[#This Row],[الدولار]]+(Table134567810111213141516171819202122232425262729[[#This Row],[اللبناني]]/90)</f>
        <v>0</v>
      </c>
      <c r="M291" s="6"/>
    </row>
    <row r="292" spans="8:13" s="8" customFormat="1" x14ac:dyDescent="0.3">
      <c r="H292" s="5" t="s">
        <v>144</v>
      </c>
      <c r="I292" s="21"/>
      <c r="J292" s="13"/>
      <c r="L292" s="26">
        <f>Table134567810111213141516171819202122232425262729[[#This Row],[الدولار]]+(Table134567810111213141516171819202122232425262729[[#This Row],[اللبناني]]/90)</f>
        <v>0</v>
      </c>
      <c r="M292" s="6"/>
    </row>
    <row r="293" spans="8:13" s="8" customFormat="1" x14ac:dyDescent="0.3">
      <c r="H293" s="5" t="s">
        <v>144</v>
      </c>
      <c r="I293" s="21"/>
      <c r="J293" s="13"/>
      <c r="L293" s="26">
        <f>Table134567810111213141516171819202122232425262729[[#This Row],[الدولار]]+(Table134567810111213141516171819202122232425262729[[#This Row],[اللبناني]]/90)</f>
        <v>0</v>
      </c>
      <c r="M293" s="6"/>
    </row>
    <row r="294" spans="8:13" s="8" customFormat="1" x14ac:dyDescent="0.3">
      <c r="H294" s="5" t="s">
        <v>144</v>
      </c>
      <c r="I294" s="21"/>
      <c r="J294" s="13"/>
      <c r="L294" s="26">
        <f>Table134567810111213141516171819202122232425262729[[#This Row],[الدولار]]+(Table134567810111213141516171819202122232425262729[[#This Row],[اللبناني]]/90)</f>
        <v>0</v>
      </c>
      <c r="M294" s="6"/>
    </row>
    <row r="295" spans="8:13" s="8" customFormat="1" x14ac:dyDescent="0.3">
      <c r="H295" s="5" t="s">
        <v>144</v>
      </c>
      <c r="I295" s="21"/>
      <c r="J295" s="13"/>
      <c r="L295" s="26">
        <f>Table134567810111213141516171819202122232425262729[[#This Row],[الدولار]]+(Table134567810111213141516171819202122232425262729[[#This Row],[اللبناني]]/90)</f>
        <v>0</v>
      </c>
      <c r="M295" s="6"/>
    </row>
    <row r="296" spans="8:13" s="8" customFormat="1" x14ac:dyDescent="0.3">
      <c r="H296" s="5" t="s">
        <v>144</v>
      </c>
      <c r="I296" s="21"/>
      <c r="J296" s="13"/>
      <c r="L296" s="26">
        <f>Table134567810111213141516171819202122232425262729[[#This Row],[الدولار]]+(Table134567810111213141516171819202122232425262729[[#This Row],[اللبناني]]/90)</f>
        <v>0</v>
      </c>
      <c r="M296" s="6"/>
    </row>
    <row r="297" spans="8:13" s="8" customFormat="1" x14ac:dyDescent="0.3">
      <c r="H297" s="5" t="s">
        <v>144</v>
      </c>
      <c r="I297" s="21"/>
      <c r="J297" s="13"/>
      <c r="L297" s="26">
        <f>Table134567810111213141516171819202122232425262729[[#This Row],[الدولار]]+(Table134567810111213141516171819202122232425262729[[#This Row],[اللبناني]]/90)</f>
        <v>0</v>
      </c>
      <c r="M297" s="6"/>
    </row>
    <row r="298" spans="8:13" s="8" customFormat="1" x14ac:dyDescent="0.3">
      <c r="H298" s="5" t="s">
        <v>144</v>
      </c>
      <c r="I298" s="21"/>
      <c r="J298" s="13"/>
      <c r="L298" s="26">
        <f>Table134567810111213141516171819202122232425262729[[#This Row],[الدولار]]+(Table134567810111213141516171819202122232425262729[[#This Row],[اللبناني]]/90)</f>
        <v>0</v>
      </c>
      <c r="M298" s="6"/>
    </row>
    <row r="299" spans="8:13" s="8" customFormat="1" x14ac:dyDescent="0.3">
      <c r="H299" s="5" t="s">
        <v>144</v>
      </c>
      <c r="I299" s="21"/>
      <c r="J299" s="13"/>
      <c r="L299" s="26">
        <f>Table134567810111213141516171819202122232425262729[[#This Row],[الدولار]]+(Table134567810111213141516171819202122232425262729[[#This Row],[اللبناني]]/90)</f>
        <v>0</v>
      </c>
      <c r="M299" s="6"/>
    </row>
    <row r="300" spans="8:13" s="8" customFormat="1" x14ac:dyDescent="0.3">
      <c r="H300" s="5" t="s">
        <v>144</v>
      </c>
      <c r="I300" s="21"/>
      <c r="J300" s="13"/>
      <c r="L300" s="26">
        <f>Table134567810111213141516171819202122232425262729[[#This Row],[الدولار]]+(Table134567810111213141516171819202122232425262729[[#This Row],[اللبناني]]/90)</f>
        <v>0</v>
      </c>
      <c r="M300" s="6"/>
    </row>
    <row r="301" spans="8:13" s="8" customFormat="1" x14ac:dyDescent="0.3">
      <c r="H301" s="5" t="s">
        <v>144</v>
      </c>
      <c r="I301" s="21"/>
      <c r="J301" s="13"/>
      <c r="L301" s="26">
        <f>Table134567810111213141516171819202122232425262729[[#This Row],[الدولار]]+(Table134567810111213141516171819202122232425262729[[#This Row],[اللبناني]]/90)</f>
        <v>0</v>
      </c>
      <c r="M301" s="6"/>
    </row>
    <row r="302" spans="8:13" s="8" customFormat="1" x14ac:dyDescent="0.3">
      <c r="H302" s="5" t="s">
        <v>144</v>
      </c>
      <c r="I302" s="21"/>
      <c r="J302" s="13"/>
      <c r="L302" s="26">
        <f>Table134567810111213141516171819202122232425262729[[#This Row],[الدولار]]+(Table134567810111213141516171819202122232425262729[[#This Row],[اللبناني]]/90)</f>
        <v>0</v>
      </c>
      <c r="M302" s="6"/>
    </row>
    <row r="303" spans="8:13" s="8" customFormat="1" x14ac:dyDescent="0.3">
      <c r="H303" s="5" t="s">
        <v>144</v>
      </c>
      <c r="I303" s="21"/>
      <c r="J303" s="13"/>
      <c r="L303" s="26">
        <f>Table134567810111213141516171819202122232425262729[[#This Row],[الدولار]]+(Table134567810111213141516171819202122232425262729[[#This Row],[اللبناني]]/90)</f>
        <v>0</v>
      </c>
      <c r="M303" s="6"/>
    </row>
    <row r="304" spans="8:13" s="8" customFormat="1" x14ac:dyDescent="0.3">
      <c r="H304" s="5" t="s">
        <v>144</v>
      </c>
      <c r="I304" s="21"/>
      <c r="J304" s="13"/>
      <c r="L304" s="26">
        <f>Table134567810111213141516171819202122232425262729[[#This Row],[الدولار]]+(Table134567810111213141516171819202122232425262729[[#This Row],[اللبناني]]/90)</f>
        <v>0</v>
      </c>
      <c r="M304" s="6"/>
    </row>
    <row r="305" spans="8:13" s="8" customFormat="1" x14ac:dyDescent="0.3">
      <c r="H305" s="5" t="s">
        <v>144</v>
      </c>
      <c r="I305" s="21"/>
      <c r="J305" s="13"/>
      <c r="L305" s="26">
        <f>Table134567810111213141516171819202122232425262729[[#This Row],[الدولار]]+(Table134567810111213141516171819202122232425262729[[#This Row],[اللبناني]]/90)</f>
        <v>0</v>
      </c>
      <c r="M305" s="6"/>
    </row>
    <row r="306" spans="8:13" s="8" customFormat="1" x14ac:dyDescent="0.3">
      <c r="H306" s="5" t="s">
        <v>144</v>
      </c>
      <c r="I306" s="21"/>
      <c r="J306" s="13"/>
      <c r="L306" s="26">
        <f>Table134567810111213141516171819202122232425262729[[#This Row],[الدولار]]+(Table134567810111213141516171819202122232425262729[[#This Row],[اللبناني]]/90)</f>
        <v>0</v>
      </c>
      <c r="M306" s="6"/>
    </row>
    <row r="307" spans="8:13" s="8" customFormat="1" x14ac:dyDescent="0.3">
      <c r="H307" s="5" t="s">
        <v>144</v>
      </c>
      <c r="I307" s="21"/>
      <c r="J307" s="13"/>
      <c r="L307" s="26">
        <f>Table134567810111213141516171819202122232425262729[[#This Row],[الدولار]]+(Table134567810111213141516171819202122232425262729[[#This Row],[اللبناني]]/90)</f>
        <v>0</v>
      </c>
      <c r="M307" s="6"/>
    </row>
    <row r="308" spans="8:13" s="8" customFormat="1" x14ac:dyDescent="0.3">
      <c r="H308" s="5" t="s">
        <v>144</v>
      </c>
      <c r="I308" s="21"/>
      <c r="J308" s="13"/>
      <c r="L308" s="26">
        <f>Table134567810111213141516171819202122232425262729[[#This Row],[الدولار]]+(Table134567810111213141516171819202122232425262729[[#This Row],[اللبناني]]/90)</f>
        <v>0</v>
      </c>
      <c r="M308" s="6"/>
    </row>
    <row r="309" spans="8:13" s="8" customFormat="1" x14ac:dyDescent="0.3">
      <c r="H309" s="5" t="s">
        <v>144</v>
      </c>
      <c r="I309" s="21"/>
      <c r="J309" s="13"/>
      <c r="L309" s="26">
        <f>Table134567810111213141516171819202122232425262729[[#This Row],[الدولار]]+(Table134567810111213141516171819202122232425262729[[#This Row],[اللبناني]]/90)</f>
        <v>0</v>
      </c>
      <c r="M309" s="6"/>
    </row>
    <row r="310" spans="8:13" s="8" customFormat="1" x14ac:dyDescent="0.3">
      <c r="H310" s="5" t="s">
        <v>144</v>
      </c>
      <c r="I310" s="21"/>
      <c r="J310" s="13"/>
      <c r="L310" s="26">
        <f>Table134567810111213141516171819202122232425262729[[#This Row],[الدولار]]+(Table134567810111213141516171819202122232425262729[[#This Row],[اللبناني]]/90)</f>
        <v>0</v>
      </c>
      <c r="M310" s="6"/>
    </row>
    <row r="311" spans="8:13" s="8" customFormat="1" x14ac:dyDescent="0.3">
      <c r="H311" s="5" t="s">
        <v>144</v>
      </c>
      <c r="I311" s="21"/>
      <c r="J311" s="13"/>
      <c r="L311" s="26">
        <f>Table134567810111213141516171819202122232425262729[[#This Row],[الدولار]]+(Table134567810111213141516171819202122232425262729[[#This Row],[اللبناني]]/90)</f>
        <v>0</v>
      </c>
      <c r="M311" s="6"/>
    </row>
    <row r="312" spans="8:13" s="8" customFormat="1" x14ac:dyDescent="0.3">
      <c r="H312" s="5" t="s">
        <v>144</v>
      </c>
      <c r="I312" s="21"/>
      <c r="J312" s="13"/>
      <c r="L312" s="26">
        <f>Table134567810111213141516171819202122232425262729[[#This Row],[الدولار]]+(Table134567810111213141516171819202122232425262729[[#This Row],[اللبناني]]/90)</f>
        <v>0</v>
      </c>
      <c r="M312" s="6"/>
    </row>
    <row r="313" spans="8:13" s="8" customFormat="1" x14ac:dyDescent="0.3">
      <c r="H313" s="5" t="s">
        <v>144</v>
      </c>
      <c r="I313" s="21"/>
      <c r="J313" s="13"/>
      <c r="L313" s="26">
        <f>Table134567810111213141516171819202122232425262729[[#This Row],[الدولار]]+(Table134567810111213141516171819202122232425262729[[#This Row],[اللبناني]]/90)</f>
        <v>0</v>
      </c>
      <c r="M313" s="6"/>
    </row>
    <row r="314" spans="8:13" s="8" customFormat="1" x14ac:dyDescent="0.3">
      <c r="H314" s="5" t="s">
        <v>144</v>
      </c>
      <c r="I314" s="21"/>
      <c r="J314" s="13"/>
      <c r="L314" s="26">
        <f>Table134567810111213141516171819202122232425262729[[#This Row],[الدولار]]+(Table134567810111213141516171819202122232425262729[[#This Row],[اللبناني]]/90)</f>
        <v>0</v>
      </c>
      <c r="M314" s="6"/>
    </row>
    <row r="315" spans="8:13" s="8" customFormat="1" x14ac:dyDescent="0.3">
      <c r="H315" s="5" t="s">
        <v>144</v>
      </c>
      <c r="I315" s="21"/>
      <c r="J315" s="13"/>
      <c r="L315" s="26">
        <f>Table134567810111213141516171819202122232425262729[[#This Row],[الدولار]]+(Table134567810111213141516171819202122232425262729[[#This Row],[اللبناني]]/90)</f>
        <v>0</v>
      </c>
      <c r="M315" s="6"/>
    </row>
    <row r="316" spans="8:13" s="8" customFormat="1" x14ac:dyDescent="0.3">
      <c r="H316" s="5" t="s">
        <v>144</v>
      </c>
      <c r="I316" s="21"/>
      <c r="J316" s="13"/>
      <c r="L316" s="26">
        <f>Table134567810111213141516171819202122232425262729[[#This Row],[الدولار]]+(Table134567810111213141516171819202122232425262729[[#This Row],[اللبناني]]/90)</f>
        <v>0</v>
      </c>
      <c r="M316" s="6"/>
    </row>
    <row r="317" spans="8:13" s="8" customFormat="1" x14ac:dyDescent="0.3">
      <c r="H317" s="5" t="s">
        <v>144</v>
      </c>
      <c r="I317" s="21"/>
      <c r="J317" s="13"/>
      <c r="L317" s="26">
        <f>Table134567810111213141516171819202122232425262729[[#This Row],[الدولار]]+(Table134567810111213141516171819202122232425262729[[#This Row],[اللبناني]]/90)</f>
        <v>0</v>
      </c>
      <c r="M317" s="6"/>
    </row>
    <row r="318" spans="8:13" s="8" customFormat="1" x14ac:dyDescent="0.3">
      <c r="H318" s="5" t="s">
        <v>144</v>
      </c>
      <c r="I318" s="21"/>
      <c r="J318" s="13"/>
      <c r="L318" s="26">
        <f>Table134567810111213141516171819202122232425262729[[#This Row],[الدولار]]+(Table134567810111213141516171819202122232425262729[[#This Row],[اللبناني]]/90)</f>
        <v>0</v>
      </c>
      <c r="M318" s="6"/>
    </row>
    <row r="319" spans="8:13" s="8" customFormat="1" x14ac:dyDescent="0.3">
      <c r="H319" s="5" t="s">
        <v>144</v>
      </c>
      <c r="I319" s="21"/>
      <c r="J319" s="13"/>
      <c r="L319" s="26">
        <f>Table134567810111213141516171819202122232425262729[[#This Row],[الدولار]]+(Table134567810111213141516171819202122232425262729[[#This Row],[اللبناني]]/90)</f>
        <v>0</v>
      </c>
      <c r="M319" s="6"/>
    </row>
    <row r="320" spans="8:13" s="8" customFormat="1" x14ac:dyDescent="0.3">
      <c r="H320" s="5" t="s">
        <v>144</v>
      </c>
      <c r="I320" s="21"/>
      <c r="J320" s="13"/>
      <c r="L320" s="26">
        <f>Table134567810111213141516171819202122232425262729[[#This Row],[الدولار]]+(Table134567810111213141516171819202122232425262729[[#This Row],[اللبناني]]/90)</f>
        <v>0</v>
      </c>
      <c r="M320" s="6"/>
    </row>
    <row r="321" spans="8:13" s="8" customFormat="1" x14ac:dyDescent="0.3">
      <c r="H321" s="5" t="s">
        <v>144</v>
      </c>
      <c r="I321" s="21"/>
      <c r="J321" s="13"/>
      <c r="L321" s="26">
        <f>Table134567810111213141516171819202122232425262729[[#This Row],[الدولار]]+(Table134567810111213141516171819202122232425262729[[#This Row],[اللبناني]]/90)</f>
        <v>0</v>
      </c>
      <c r="M321" s="6"/>
    </row>
    <row r="322" spans="8:13" s="8" customFormat="1" x14ac:dyDescent="0.3">
      <c r="H322" s="5" t="s">
        <v>144</v>
      </c>
      <c r="I322" s="21"/>
      <c r="J322" s="13"/>
      <c r="L322" s="26">
        <f>Table134567810111213141516171819202122232425262729[[#This Row],[الدولار]]+(Table134567810111213141516171819202122232425262729[[#This Row],[اللبناني]]/90)</f>
        <v>0</v>
      </c>
      <c r="M322" s="6"/>
    </row>
    <row r="323" spans="8:13" s="8" customFormat="1" x14ac:dyDescent="0.3">
      <c r="H323" s="5" t="s">
        <v>144</v>
      </c>
      <c r="I323" s="21"/>
      <c r="J323" s="13"/>
      <c r="L323" s="26">
        <f>Table134567810111213141516171819202122232425262729[[#This Row],[الدولار]]+(Table134567810111213141516171819202122232425262729[[#This Row],[اللبناني]]/90)</f>
        <v>0</v>
      </c>
      <c r="M323" s="6"/>
    </row>
    <row r="324" spans="8:13" s="8" customFormat="1" x14ac:dyDescent="0.3">
      <c r="H324" s="5" t="s">
        <v>144</v>
      </c>
      <c r="I324" s="21"/>
      <c r="J324" s="13"/>
      <c r="L324" s="26">
        <f>Table134567810111213141516171819202122232425262729[[#This Row],[الدولار]]+(Table134567810111213141516171819202122232425262729[[#This Row],[اللبناني]]/90)</f>
        <v>0</v>
      </c>
      <c r="M324" s="6"/>
    </row>
    <row r="325" spans="8:13" s="8" customFormat="1" x14ac:dyDescent="0.3">
      <c r="H325" s="5" t="s">
        <v>144</v>
      </c>
      <c r="I325" s="21"/>
      <c r="J325" s="13"/>
      <c r="L325" s="26">
        <f>Table134567810111213141516171819202122232425262729[[#This Row],[الدولار]]+(Table134567810111213141516171819202122232425262729[[#This Row],[اللبناني]]/90)</f>
        <v>0</v>
      </c>
      <c r="M325" s="6"/>
    </row>
    <row r="326" spans="8:13" s="8" customFormat="1" x14ac:dyDescent="0.3">
      <c r="H326" s="5" t="s">
        <v>144</v>
      </c>
      <c r="I326" s="21"/>
      <c r="J326" s="13"/>
      <c r="L326" s="26">
        <f>Table134567810111213141516171819202122232425262729[[#This Row],[الدولار]]+(Table134567810111213141516171819202122232425262729[[#This Row],[اللبناني]]/90)</f>
        <v>0</v>
      </c>
      <c r="M326" s="6"/>
    </row>
    <row r="327" spans="8:13" s="8" customFormat="1" x14ac:dyDescent="0.3">
      <c r="H327" s="5" t="s">
        <v>144</v>
      </c>
      <c r="I327" s="21"/>
      <c r="J327" s="13"/>
      <c r="L327" s="26">
        <f>Table134567810111213141516171819202122232425262729[[#This Row],[الدولار]]+(Table134567810111213141516171819202122232425262729[[#This Row],[اللبناني]]/90)</f>
        <v>0</v>
      </c>
      <c r="M327" s="6"/>
    </row>
    <row r="328" spans="8:13" s="8" customFormat="1" x14ac:dyDescent="0.3">
      <c r="H328" s="5" t="s">
        <v>144</v>
      </c>
      <c r="I328" s="21"/>
      <c r="J328" s="13"/>
      <c r="L328" s="26">
        <f>Table134567810111213141516171819202122232425262729[[#This Row],[الدولار]]+(Table134567810111213141516171819202122232425262729[[#This Row],[اللبناني]]/90)</f>
        <v>0</v>
      </c>
      <c r="M328" s="6"/>
    </row>
    <row r="329" spans="8:13" s="8" customFormat="1" x14ac:dyDescent="0.3">
      <c r="H329" s="5" t="s">
        <v>144</v>
      </c>
      <c r="I329" s="21"/>
      <c r="J329" s="13"/>
      <c r="L329" s="26">
        <f>Table134567810111213141516171819202122232425262729[[#This Row],[الدولار]]+(Table134567810111213141516171819202122232425262729[[#This Row],[اللبناني]]/90)</f>
        <v>0</v>
      </c>
      <c r="M329" s="6"/>
    </row>
    <row r="330" spans="8:13" s="8" customFormat="1" x14ac:dyDescent="0.3">
      <c r="H330" s="5" t="s">
        <v>144</v>
      </c>
      <c r="I330" s="21"/>
      <c r="J330" s="13"/>
      <c r="L330" s="26">
        <f>Table134567810111213141516171819202122232425262729[[#This Row],[الدولار]]+(Table134567810111213141516171819202122232425262729[[#This Row],[اللبناني]]/90)</f>
        <v>0</v>
      </c>
      <c r="M330" s="6"/>
    </row>
    <row r="331" spans="8:13" s="8" customFormat="1" x14ac:dyDescent="0.3">
      <c r="H331" s="5" t="s">
        <v>144</v>
      </c>
      <c r="I331" s="21"/>
      <c r="J331" s="13"/>
      <c r="L331" s="26">
        <f>Table134567810111213141516171819202122232425262729[[#This Row],[الدولار]]+(Table134567810111213141516171819202122232425262729[[#This Row],[اللبناني]]/90)</f>
        <v>0</v>
      </c>
      <c r="M331" s="6"/>
    </row>
    <row r="332" spans="8:13" s="8" customFormat="1" x14ac:dyDescent="0.3">
      <c r="H332" s="5" t="s">
        <v>144</v>
      </c>
      <c r="I332" s="21"/>
      <c r="J332" s="13"/>
      <c r="L332" s="26">
        <f>Table134567810111213141516171819202122232425262729[[#This Row],[الدولار]]+(Table134567810111213141516171819202122232425262729[[#This Row],[اللبناني]]/90)</f>
        <v>0</v>
      </c>
      <c r="M332" s="6"/>
    </row>
    <row r="333" spans="8:13" s="8" customFormat="1" x14ac:dyDescent="0.3">
      <c r="H333" s="5" t="s">
        <v>144</v>
      </c>
      <c r="I333" s="21"/>
      <c r="J333" s="13"/>
      <c r="L333" s="26">
        <f>Table134567810111213141516171819202122232425262729[[#This Row],[الدولار]]+(Table134567810111213141516171819202122232425262729[[#This Row],[اللبناني]]/90)</f>
        <v>0</v>
      </c>
      <c r="M333" s="6"/>
    </row>
    <row r="334" spans="8:13" s="8" customFormat="1" x14ac:dyDescent="0.3">
      <c r="H334" s="5" t="s">
        <v>144</v>
      </c>
      <c r="I334" s="21"/>
      <c r="J334" s="13"/>
      <c r="L334" s="26">
        <f>Table134567810111213141516171819202122232425262729[[#This Row],[الدولار]]+(Table134567810111213141516171819202122232425262729[[#This Row],[اللبناني]]/90)</f>
        <v>0</v>
      </c>
      <c r="M334" s="6"/>
    </row>
    <row r="335" spans="8:13" s="8" customFormat="1" x14ac:dyDescent="0.3">
      <c r="H335" s="5" t="s">
        <v>144</v>
      </c>
      <c r="I335" s="21"/>
      <c r="J335" s="13"/>
      <c r="L335" s="26">
        <f>Table134567810111213141516171819202122232425262729[[#This Row],[الدولار]]+(Table134567810111213141516171819202122232425262729[[#This Row],[اللبناني]]/90)</f>
        <v>0</v>
      </c>
      <c r="M335" s="6"/>
    </row>
    <row r="336" spans="8:13" s="8" customFormat="1" x14ac:dyDescent="0.3">
      <c r="H336" s="5" t="s">
        <v>144</v>
      </c>
      <c r="I336" s="21"/>
      <c r="J336" s="13"/>
      <c r="L336" s="26">
        <f>Table134567810111213141516171819202122232425262729[[#This Row],[الدولار]]+(Table134567810111213141516171819202122232425262729[[#This Row],[اللبناني]]/90)</f>
        <v>0</v>
      </c>
      <c r="M336" s="6"/>
    </row>
    <row r="337" spans="8:13" s="8" customFormat="1" x14ac:dyDescent="0.3">
      <c r="H337" s="5" t="s">
        <v>144</v>
      </c>
      <c r="I337" s="21"/>
      <c r="J337" s="13"/>
      <c r="L337" s="26">
        <f>Table134567810111213141516171819202122232425262729[[#This Row],[الدولار]]+(Table134567810111213141516171819202122232425262729[[#This Row],[اللبناني]]/90)</f>
        <v>0</v>
      </c>
      <c r="M337" s="6"/>
    </row>
    <row r="338" spans="8:13" s="8" customFormat="1" x14ac:dyDescent="0.3">
      <c r="H338" s="5" t="s">
        <v>144</v>
      </c>
      <c r="I338" s="21"/>
      <c r="J338" s="13"/>
      <c r="L338" s="26">
        <f>Table134567810111213141516171819202122232425262729[[#This Row],[الدولار]]+(Table134567810111213141516171819202122232425262729[[#This Row],[اللبناني]]/90)</f>
        <v>0</v>
      </c>
      <c r="M338" s="6"/>
    </row>
    <row r="339" spans="8:13" s="8" customFormat="1" x14ac:dyDescent="0.3">
      <c r="H339" s="5" t="s">
        <v>144</v>
      </c>
      <c r="I339" s="21"/>
      <c r="J339" s="13"/>
      <c r="L339" s="26">
        <f>Table134567810111213141516171819202122232425262729[[#This Row],[الدولار]]+(Table134567810111213141516171819202122232425262729[[#This Row],[اللبناني]]/90)</f>
        <v>0</v>
      </c>
      <c r="M339" s="6"/>
    </row>
    <row r="340" spans="8:13" s="8" customFormat="1" x14ac:dyDescent="0.3">
      <c r="H340" s="5" t="s">
        <v>144</v>
      </c>
      <c r="I340" s="21"/>
      <c r="J340" s="13"/>
      <c r="L340" s="26">
        <f>Table134567810111213141516171819202122232425262729[[#This Row],[الدولار]]+(Table134567810111213141516171819202122232425262729[[#This Row],[اللبناني]]/90)</f>
        <v>0</v>
      </c>
      <c r="M340" s="6"/>
    </row>
    <row r="341" spans="8:13" s="8" customFormat="1" x14ac:dyDescent="0.3">
      <c r="H341" s="5" t="s">
        <v>144</v>
      </c>
      <c r="I341" s="21"/>
      <c r="J341" s="13"/>
      <c r="L341" s="26">
        <f>Table134567810111213141516171819202122232425262729[[#This Row],[الدولار]]+(Table134567810111213141516171819202122232425262729[[#This Row],[اللبناني]]/90)</f>
        <v>0</v>
      </c>
      <c r="M341" s="6"/>
    </row>
    <row r="342" spans="8:13" s="8" customFormat="1" x14ac:dyDescent="0.3">
      <c r="H342" s="5" t="s">
        <v>144</v>
      </c>
      <c r="I342" s="21"/>
      <c r="J342" s="13"/>
      <c r="L342" s="26">
        <f>Table134567810111213141516171819202122232425262729[[#This Row],[الدولار]]+(Table134567810111213141516171819202122232425262729[[#This Row],[اللبناني]]/90)</f>
        <v>0</v>
      </c>
      <c r="M342" s="6"/>
    </row>
    <row r="343" spans="8:13" s="8" customFormat="1" x14ac:dyDescent="0.3">
      <c r="H343" s="5" t="s">
        <v>144</v>
      </c>
      <c r="I343" s="21"/>
      <c r="J343" s="13"/>
      <c r="L343" s="26">
        <f>Table134567810111213141516171819202122232425262729[[#This Row],[الدولار]]+(Table134567810111213141516171819202122232425262729[[#This Row],[اللبناني]]/90)</f>
        <v>0</v>
      </c>
      <c r="M343" s="6"/>
    </row>
    <row r="344" spans="8:13" s="8" customFormat="1" x14ac:dyDescent="0.3">
      <c r="H344" s="5" t="s">
        <v>144</v>
      </c>
      <c r="I344" s="21"/>
      <c r="J344" s="13"/>
      <c r="L344" s="26">
        <f>Table134567810111213141516171819202122232425262729[[#This Row],[الدولار]]+(Table134567810111213141516171819202122232425262729[[#This Row],[اللبناني]]/90)</f>
        <v>0</v>
      </c>
      <c r="M344" s="6"/>
    </row>
    <row r="345" spans="8:13" s="8" customFormat="1" x14ac:dyDescent="0.3">
      <c r="H345" s="5" t="s">
        <v>144</v>
      </c>
      <c r="I345" s="21"/>
      <c r="J345" s="13"/>
      <c r="L345" s="26">
        <f>Table134567810111213141516171819202122232425262729[[#This Row],[الدولار]]+(Table134567810111213141516171819202122232425262729[[#This Row],[اللبناني]]/90)</f>
        <v>0</v>
      </c>
      <c r="M345" s="6"/>
    </row>
    <row r="346" spans="8:13" s="8" customFormat="1" x14ac:dyDescent="0.3">
      <c r="H346" s="5" t="s">
        <v>144</v>
      </c>
      <c r="I346" s="21"/>
      <c r="J346" s="13"/>
      <c r="L346" s="26">
        <f>Table134567810111213141516171819202122232425262729[[#This Row],[الدولار]]+(Table134567810111213141516171819202122232425262729[[#This Row],[اللبناني]]/90)</f>
        <v>0</v>
      </c>
      <c r="M346" s="6"/>
    </row>
    <row r="347" spans="8:13" s="8" customFormat="1" x14ac:dyDescent="0.3">
      <c r="H347" s="5" t="s">
        <v>144</v>
      </c>
      <c r="I347" s="21"/>
      <c r="J347" s="13"/>
      <c r="L347" s="26">
        <f>Table134567810111213141516171819202122232425262729[[#This Row],[الدولار]]+(Table134567810111213141516171819202122232425262729[[#This Row],[اللبناني]]/90)</f>
        <v>0</v>
      </c>
      <c r="M347" s="6"/>
    </row>
    <row r="348" spans="8:13" s="8" customFormat="1" x14ac:dyDescent="0.3">
      <c r="H348" s="5" t="s">
        <v>144</v>
      </c>
      <c r="I348" s="21"/>
      <c r="J348" s="13"/>
      <c r="L348" s="26">
        <f>Table134567810111213141516171819202122232425262729[[#This Row],[الدولار]]+(Table134567810111213141516171819202122232425262729[[#This Row],[اللبناني]]/90)</f>
        <v>0</v>
      </c>
      <c r="M348" s="6"/>
    </row>
    <row r="349" spans="8:13" s="8" customFormat="1" x14ac:dyDescent="0.3">
      <c r="H349" s="5" t="s">
        <v>144</v>
      </c>
      <c r="I349" s="21"/>
      <c r="J349" s="13"/>
      <c r="L349" s="26">
        <f>Table134567810111213141516171819202122232425262729[[#This Row],[الدولار]]+(Table134567810111213141516171819202122232425262729[[#This Row],[اللبناني]]/90)</f>
        <v>0</v>
      </c>
      <c r="M349" s="6"/>
    </row>
    <row r="350" spans="8:13" s="8" customFormat="1" x14ac:dyDescent="0.3">
      <c r="H350" s="5" t="s">
        <v>144</v>
      </c>
      <c r="I350" s="21"/>
      <c r="J350" s="13"/>
      <c r="L350" s="26">
        <f>Table134567810111213141516171819202122232425262729[[#This Row],[الدولار]]+(Table134567810111213141516171819202122232425262729[[#This Row],[اللبناني]]/90)</f>
        <v>0</v>
      </c>
      <c r="M350" s="6"/>
    </row>
    <row r="351" spans="8:13" s="8" customFormat="1" x14ac:dyDescent="0.3">
      <c r="H351" s="5" t="s">
        <v>144</v>
      </c>
      <c r="I351" s="21"/>
      <c r="J351" s="13"/>
      <c r="L351" s="26">
        <f>Table134567810111213141516171819202122232425262729[[#This Row],[الدولار]]+(Table134567810111213141516171819202122232425262729[[#This Row],[اللبناني]]/90)</f>
        <v>0</v>
      </c>
      <c r="M351" s="6"/>
    </row>
    <row r="352" spans="8:13" s="8" customFormat="1" x14ac:dyDescent="0.3">
      <c r="H352" s="5" t="s">
        <v>144</v>
      </c>
      <c r="I352" s="21"/>
      <c r="J352" s="13"/>
      <c r="L352" s="26">
        <f>Table134567810111213141516171819202122232425262729[[#This Row],[الدولار]]+(Table134567810111213141516171819202122232425262729[[#This Row],[اللبناني]]/90)</f>
        <v>0</v>
      </c>
      <c r="M352" s="6"/>
    </row>
    <row r="353" spans="8:13" s="8" customFormat="1" x14ac:dyDescent="0.3">
      <c r="H353" s="5" t="s">
        <v>144</v>
      </c>
      <c r="I353" s="21"/>
      <c r="J353" s="13"/>
      <c r="L353" s="26">
        <f>Table134567810111213141516171819202122232425262729[[#This Row],[الدولار]]+(Table134567810111213141516171819202122232425262729[[#This Row],[اللبناني]]/90)</f>
        <v>0</v>
      </c>
      <c r="M353" s="6"/>
    </row>
    <row r="354" spans="8:13" s="8" customFormat="1" x14ac:dyDescent="0.3">
      <c r="H354" s="5" t="s">
        <v>144</v>
      </c>
      <c r="I354" s="21"/>
      <c r="J354" s="13"/>
      <c r="L354" s="26">
        <f>Table134567810111213141516171819202122232425262729[[#This Row],[الدولار]]+(Table134567810111213141516171819202122232425262729[[#This Row],[اللبناني]]/90)</f>
        <v>0</v>
      </c>
      <c r="M354" s="6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.3" footer="0.3"/>
  <pageSetup paperSize="9" scale="65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8D5D-D5DC-4FF3-92D4-304AE789F817}">
  <sheetPr>
    <pageSetUpPr fitToPage="1"/>
  </sheetPr>
  <dimension ref="A1:S358"/>
  <sheetViews>
    <sheetView rightToLeft="1" topLeftCell="A15" zoomScale="115" zoomScaleNormal="115" workbookViewId="0">
      <selection activeCell="O24" sqref="O24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8.44140625" style="2" bestFit="1" customWidth="1"/>
    <col min="4" max="4" width="10.44140625" style="2" customWidth="1"/>
    <col min="5" max="5" width="7" style="2" customWidth="1"/>
    <col min="6" max="6" width="10.88671875" style="2" bestFit="1" customWidth="1"/>
    <col min="7" max="7" width="2.44140625" style="2" customWidth="1"/>
    <col min="8" max="8" width="8.88671875" style="2" bestFit="1" customWidth="1"/>
    <col min="9" max="9" width="17.88671875" style="21" customWidth="1"/>
    <col min="10" max="10" width="12.109375" style="7" bestFit="1" customWidth="1"/>
    <col min="11" max="11" width="8.5546875" style="8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2.109375" style="2" bestFit="1" customWidth="1"/>
    <col min="20" max="16384" width="8.88671875" style="2"/>
  </cols>
  <sheetData>
    <row r="1" spans="1:12" x14ac:dyDescent="0.3">
      <c r="I1" s="21" t="s">
        <v>22</v>
      </c>
      <c r="J1" s="7">
        <f>SUM(J3:J15)</f>
        <v>1245</v>
      </c>
      <c r="K1" s="7">
        <f>SUM(K3:K15)</f>
        <v>141</v>
      </c>
      <c r="L1" s="7">
        <f>SUM(L3:L15)</f>
        <v>154.83333333333334</v>
      </c>
    </row>
    <row r="2" spans="1:12" x14ac:dyDescent="0.3">
      <c r="H2" s="2" t="s">
        <v>136</v>
      </c>
      <c r="I2" s="22" t="s">
        <v>6</v>
      </c>
      <c r="J2" s="3" t="s">
        <v>5</v>
      </c>
      <c r="K2" s="9" t="s">
        <v>4</v>
      </c>
      <c r="L2" s="9" t="s">
        <v>125</v>
      </c>
    </row>
    <row r="3" spans="1:12" x14ac:dyDescent="0.3">
      <c r="H3" s="5" t="s">
        <v>144</v>
      </c>
      <c r="I3" s="23"/>
      <c r="J3" s="15">
        <v>145</v>
      </c>
      <c r="L3" s="26">
        <f t="shared" ref="L3:L15" si="0">K3+(J3/90)</f>
        <v>1.6111111111111112</v>
      </c>
    </row>
    <row r="4" spans="1:12" x14ac:dyDescent="0.3">
      <c r="H4" s="5" t="s">
        <v>144</v>
      </c>
      <c r="I4" s="23"/>
      <c r="J4" s="15"/>
      <c r="K4" s="8">
        <v>10</v>
      </c>
      <c r="L4" s="26">
        <f t="shared" si="0"/>
        <v>10</v>
      </c>
    </row>
    <row r="5" spans="1:12" x14ac:dyDescent="0.3">
      <c r="H5" s="5" t="s">
        <v>144</v>
      </c>
      <c r="I5" s="23"/>
      <c r="J5" s="15">
        <v>180</v>
      </c>
      <c r="L5" s="26">
        <f t="shared" si="0"/>
        <v>2</v>
      </c>
    </row>
    <row r="6" spans="1:12" x14ac:dyDescent="0.3">
      <c r="H6" s="5" t="s">
        <v>144</v>
      </c>
      <c r="I6" s="23"/>
      <c r="J6" s="15">
        <v>100</v>
      </c>
      <c r="L6" s="26">
        <f t="shared" ref="L6:L9" si="1">K6+(J6/90)</f>
        <v>1.1111111111111112</v>
      </c>
    </row>
    <row r="7" spans="1:12" x14ac:dyDescent="0.3">
      <c r="H7" s="5" t="s">
        <v>144</v>
      </c>
      <c r="I7" s="23"/>
      <c r="J7" s="15"/>
      <c r="K7" s="8">
        <v>5</v>
      </c>
      <c r="L7" s="26">
        <f t="shared" si="1"/>
        <v>5</v>
      </c>
    </row>
    <row r="8" spans="1:12" x14ac:dyDescent="0.3">
      <c r="H8" s="5" t="s">
        <v>144</v>
      </c>
      <c r="I8" s="23"/>
      <c r="J8" s="15">
        <v>250</v>
      </c>
      <c r="L8" s="26">
        <f t="shared" si="1"/>
        <v>2.7777777777777777</v>
      </c>
    </row>
    <row r="9" spans="1:12" x14ac:dyDescent="0.3">
      <c r="H9" s="5" t="s">
        <v>144</v>
      </c>
      <c r="I9" s="23"/>
      <c r="J9" s="15">
        <v>400</v>
      </c>
      <c r="L9" s="26">
        <f t="shared" si="1"/>
        <v>4.4444444444444446</v>
      </c>
    </row>
    <row r="10" spans="1:12" x14ac:dyDescent="0.3">
      <c r="H10" s="5" t="s">
        <v>144</v>
      </c>
      <c r="I10" s="23"/>
      <c r="J10" s="15">
        <v>450</v>
      </c>
      <c r="K10" s="8">
        <v>20</v>
      </c>
      <c r="L10" s="26">
        <f t="shared" si="0"/>
        <v>25</v>
      </c>
    </row>
    <row r="11" spans="1:12" x14ac:dyDescent="0.3">
      <c r="H11" s="5" t="s">
        <v>144</v>
      </c>
      <c r="I11" s="24"/>
      <c r="J11" s="15"/>
      <c r="K11" s="8">
        <v>22</v>
      </c>
      <c r="L11" s="26">
        <f t="shared" si="0"/>
        <v>22</v>
      </c>
    </row>
    <row r="12" spans="1:12" x14ac:dyDescent="0.3">
      <c r="H12" s="5" t="s">
        <v>144</v>
      </c>
      <c r="I12" s="23"/>
      <c r="J12" s="15"/>
      <c r="K12" s="8">
        <v>84</v>
      </c>
      <c r="L12" s="26">
        <f t="shared" si="0"/>
        <v>84</v>
      </c>
    </row>
    <row r="13" spans="1:12" x14ac:dyDescent="0.3">
      <c r="H13" s="2" t="s">
        <v>144</v>
      </c>
      <c r="I13" s="23"/>
      <c r="J13" s="15">
        <v>80</v>
      </c>
      <c r="L13" s="26">
        <f t="shared" si="0"/>
        <v>0.88888888888888884</v>
      </c>
    </row>
    <row r="14" spans="1:12" x14ac:dyDescent="0.3">
      <c r="H14" s="2" t="s">
        <v>144</v>
      </c>
      <c r="I14" s="23" t="s">
        <v>62</v>
      </c>
      <c r="J14" s="15">
        <v>-360</v>
      </c>
      <c r="L14" s="26">
        <f t="shared" si="0"/>
        <v>-4</v>
      </c>
    </row>
    <row r="15" spans="1:12" x14ac:dyDescent="0.3">
      <c r="H15" s="2" t="s">
        <v>144</v>
      </c>
      <c r="I15" s="23"/>
      <c r="J15" s="15"/>
      <c r="L15" s="26">
        <f t="shared" si="0"/>
        <v>0</v>
      </c>
    </row>
    <row r="16" spans="1:12" x14ac:dyDescent="0.3">
      <c r="A16" s="31" t="s">
        <v>225</v>
      </c>
    </row>
    <row r="17" spans="1:19" x14ac:dyDescent="0.3">
      <c r="A17" s="48" t="s">
        <v>19</v>
      </c>
      <c r="B17" s="48"/>
      <c r="C17" s="48"/>
      <c r="D17" s="48"/>
      <c r="E17" s="48"/>
      <c r="F17" s="48"/>
      <c r="I17" s="21" t="s">
        <v>22</v>
      </c>
      <c r="J17" s="7">
        <f>SUM(Table134567810111213141516171819202122232425262728[اللبناني])</f>
        <v>10765</v>
      </c>
      <c r="K17" s="7">
        <f>SUM(Table134567810111213141516171819202122232425262728[الدولار])</f>
        <v>1413</v>
      </c>
      <c r="L17" s="7">
        <f>SUM(Table134567810111213141516171819202122232425262728[مبيع $])</f>
        <v>1532.6111111111109</v>
      </c>
      <c r="N17" s="48" t="s">
        <v>21</v>
      </c>
      <c r="O17" s="48"/>
      <c r="P17" s="48"/>
      <c r="Q17" s="48"/>
      <c r="R17" s="48"/>
      <c r="S17" s="48"/>
    </row>
    <row r="18" spans="1:19" x14ac:dyDescent="0.3">
      <c r="A18" s="1" t="s">
        <v>2</v>
      </c>
      <c r="B18" s="1" t="s">
        <v>0</v>
      </c>
      <c r="C18" s="1" t="s">
        <v>1</v>
      </c>
      <c r="D18" s="1" t="s">
        <v>3</v>
      </c>
      <c r="E18" s="1" t="s">
        <v>0</v>
      </c>
      <c r="F18" s="1" t="s">
        <v>1</v>
      </c>
      <c r="H18" s="2" t="s">
        <v>136</v>
      </c>
      <c r="I18" s="22" t="s">
        <v>6</v>
      </c>
      <c r="J18" s="3" t="s">
        <v>5</v>
      </c>
      <c r="K18" s="9" t="s">
        <v>4</v>
      </c>
      <c r="L18" s="9" t="s">
        <v>125</v>
      </c>
      <c r="M18" s="2"/>
      <c r="N18" s="1" t="s">
        <v>2</v>
      </c>
      <c r="O18" s="1" t="s">
        <v>0</v>
      </c>
      <c r="P18" s="1" t="s">
        <v>1</v>
      </c>
      <c r="Q18" s="1" t="s">
        <v>3</v>
      </c>
      <c r="R18" s="1" t="s">
        <v>0</v>
      </c>
      <c r="S18" s="1" t="s">
        <v>1</v>
      </c>
    </row>
    <row r="19" spans="1:19" x14ac:dyDescent="0.3">
      <c r="A19" s="11">
        <v>1</v>
      </c>
      <c r="B19" s="2">
        <v>1</v>
      </c>
      <c r="C19" s="16">
        <f>A19*B19</f>
        <v>1</v>
      </c>
      <c r="D19" s="12">
        <v>5</v>
      </c>
      <c r="E19" s="2">
        <v>28</v>
      </c>
      <c r="F19" s="18">
        <f>D19*E19</f>
        <v>140</v>
      </c>
      <c r="G19" s="5"/>
      <c r="H19" s="5" t="s">
        <v>144</v>
      </c>
      <c r="I19" s="23" t="s">
        <v>15</v>
      </c>
      <c r="J19" s="15">
        <v>-150</v>
      </c>
      <c r="K19" s="8">
        <v>5</v>
      </c>
      <c r="L19" s="26">
        <f>Table134567810111213141516171819202122232425262728[[#This Row],[الدولار]]+(Table134567810111213141516171819202122232425262728[[#This Row],[اللبناني]]/90)</f>
        <v>3.333333333333333</v>
      </c>
      <c r="N19" s="11">
        <v>1</v>
      </c>
      <c r="O19" s="2">
        <v>9</v>
      </c>
      <c r="P19" s="16">
        <f>N19*O19</f>
        <v>9</v>
      </c>
      <c r="Q19" s="12">
        <v>5</v>
      </c>
      <c r="S19" s="18">
        <f>Q19*R19</f>
        <v>0</v>
      </c>
    </row>
    <row r="20" spans="1:19" x14ac:dyDescent="0.3">
      <c r="A20" s="11">
        <v>5</v>
      </c>
      <c r="B20" s="2">
        <v>2</v>
      </c>
      <c r="C20" s="16">
        <f t="shared" ref="C20:C24" si="2">A20*B20</f>
        <v>10</v>
      </c>
      <c r="D20" s="12">
        <v>10</v>
      </c>
      <c r="E20" s="2">
        <v>13</v>
      </c>
      <c r="F20" s="18">
        <f t="shared" ref="F20:F23" si="3">D20*E20</f>
        <v>130</v>
      </c>
      <c r="G20" s="5"/>
      <c r="H20" s="5" t="s">
        <v>144</v>
      </c>
      <c r="I20" s="23" t="s">
        <v>201</v>
      </c>
      <c r="J20" s="15">
        <v>-180</v>
      </c>
      <c r="K20" s="8">
        <v>-25</v>
      </c>
      <c r="L20" s="26">
        <f>Table134567810111213141516171819202122232425262728[[#This Row],[الدولار]]+(Table134567810111213141516171819202122232425262728[[#This Row],[اللبناني]]/90)</f>
        <v>-27</v>
      </c>
      <c r="N20" s="11">
        <v>5</v>
      </c>
      <c r="O20" s="2">
        <v>1</v>
      </c>
      <c r="P20" s="16">
        <f t="shared" ref="P20:P24" si="4">N20*O20</f>
        <v>5</v>
      </c>
      <c r="Q20" s="12">
        <v>10</v>
      </c>
      <c r="S20" s="18">
        <f t="shared" ref="S20:S23" si="5">Q20*R20</f>
        <v>0</v>
      </c>
    </row>
    <row r="21" spans="1:19" x14ac:dyDescent="0.3">
      <c r="A21" s="11">
        <v>10</v>
      </c>
      <c r="B21" s="2">
        <v>53</v>
      </c>
      <c r="C21" s="16">
        <f t="shared" si="2"/>
        <v>530</v>
      </c>
      <c r="D21" s="12">
        <v>20</v>
      </c>
      <c r="E21" s="2">
        <v>0</v>
      </c>
      <c r="F21" s="18">
        <f t="shared" si="3"/>
        <v>0</v>
      </c>
      <c r="G21" s="5"/>
      <c r="H21" s="5" t="s">
        <v>146</v>
      </c>
      <c r="I21" s="23" t="s">
        <v>18</v>
      </c>
      <c r="J21" s="15"/>
      <c r="K21" s="8">
        <v>-40</v>
      </c>
      <c r="L21" s="26">
        <f>Table134567810111213141516171819202122232425262728[[#This Row],[الدولار]]+(Table134567810111213141516171819202122232425262728[[#This Row],[اللبناني]]/90)</f>
        <v>-40</v>
      </c>
      <c r="N21" s="11">
        <v>10</v>
      </c>
      <c r="O21" s="2">
        <v>28</v>
      </c>
      <c r="P21" s="16">
        <f t="shared" si="4"/>
        <v>280</v>
      </c>
      <c r="Q21" s="12">
        <v>20</v>
      </c>
      <c r="S21" s="18">
        <f t="shared" si="5"/>
        <v>0</v>
      </c>
    </row>
    <row r="22" spans="1:19" x14ac:dyDescent="0.3">
      <c r="A22" s="11">
        <v>20</v>
      </c>
      <c r="B22" s="2">
        <v>41</v>
      </c>
      <c r="C22" s="16">
        <f t="shared" si="2"/>
        <v>820</v>
      </c>
      <c r="D22" s="12">
        <v>50</v>
      </c>
      <c r="E22" s="2">
        <v>4</v>
      </c>
      <c r="F22" s="18">
        <f t="shared" si="3"/>
        <v>200</v>
      </c>
      <c r="G22" s="5"/>
      <c r="H22" s="5" t="s">
        <v>144</v>
      </c>
      <c r="I22" s="23" t="s">
        <v>18</v>
      </c>
      <c r="J22" s="15"/>
      <c r="K22" s="8">
        <v>31</v>
      </c>
      <c r="L22" s="26">
        <f>Table134567810111213141516171819202122232425262728[[#This Row],[الدولار]]+(Table134567810111213141516171819202122232425262728[[#This Row],[اللبناني]]/90)</f>
        <v>31</v>
      </c>
      <c r="N22" s="11">
        <v>20</v>
      </c>
      <c r="O22" s="2">
        <v>30</v>
      </c>
      <c r="P22" s="16">
        <f t="shared" si="4"/>
        <v>600</v>
      </c>
      <c r="Q22" s="12">
        <v>50</v>
      </c>
      <c r="R22" s="2">
        <v>1</v>
      </c>
      <c r="S22" s="18">
        <f t="shared" si="5"/>
        <v>50</v>
      </c>
    </row>
    <row r="23" spans="1:19" x14ac:dyDescent="0.3">
      <c r="A23" s="11">
        <v>50</v>
      </c>
      <c r="B23" s="2">
        <v>4</v>
      </c>
      <c r="C23" s="16">
        <f t="shared" si="2"/>
        <v>200</v>
      </c>
      <c r="D23" s="12">
        <v>100</v>
      </c>
      <c r="E23" s="2">
        <v>27</v>
      </c>
      <c r="F23" s="18">
        <f t="shared" si="3"/>
        <v>2700</v>
      </c>
      <c r="G23" s="5"/>
      <c r="H23" s="5" t="s">
        <v>145</v>
      </c>
      <c r="I23" s="24" t="s">
        <v>42</v>
      </c>
      <c r="J23" s="15">
        <v>-300</v>
      </c>
      <c r="L23" s="26">
        <f>Table134567810111213141516171819202122232425262728[[#This Row],[الدولار]]+(Table134567810111213141516171819202122232425262728[[#This Row],[اللبناني]]/90)</f>
        <v>-3.3333333333333335</v>
      </c>
      <c r="N23" s="11">
        <v>50</v>
      </c>
      <c r="O23" s="2">
        <v>1</v>
      </c>
      <c r="P23" s="16">
        <f t="shared" si="4"/>
        <v>50</v>
      </c>
      <c r="Q23" s="12">
        <v>100</v>
      </c>
      <c r="R23" s="2">
        <v>1</v>
      </c>
      <c r="S23" s="18">
        <f t="shared" si="5"/>
        <v>100</v>
      </c>
    </row>
    <row r="24" spans="1:19" x14ac:dyDescent="0.3">
      <c r="A24" s="11">
        <v>100</v>
      </c>
      <c r="B24" s="2">
        <v>7</v>
      </c>
      <c r="C24" s="16">
        <f t="shared" si="2"/>
        <v>700</v>
      </c>
      <c r="D24" s="1" t="s">
        <v>1</v>
      </c>
      <c r="E24" s="1"/>
      <c r="F24" s="14">
        <f>SUM(F19:F23)</f>
        <v>3170</v>
      </c>
      <c r="G24" s="5"/>
      <c r="H24" s="5" t="s">
        <v>144</v>
      </c>
      <c r="I24" s="23" t="s">
        <v>204</v>
      </c>
      <c r="J24" s="15"/>
      <c r="K24" s="8">
        <v>120</v>
      </c>
      <c r="L24" s="26">
        <f>Table134567810111213141516171819202122232425262728[[#This Row],[الدولار]]+(Table134567810111213141516171819202122232425262728[[#This Row],[اللبناني]]/90)</f>
        <v>120</v>
      </c>
      <c r="N24" s="11">
        <v>100</v>
      </c>
      <c r="O24" s="2">
        <v>1</v>
      </c>
      <c r="P24" s="16">
        <f t="shared" si="4"/>
        <v>100</v>
      </c>
      <c r="Q24" s="1" t="s">
        <v>1</v>
      </c>
      <c r="R24" s="1"/>
      <c r="S24" s="14">
        <f>SUM(S19:S23)</f>
        <v>150</v>
      </c>
    </row>
    <row r="25" spans="1:19" x14ac:dyDescent="0.3">
      <c r="A25" s="1" t="s">
        <v>1</v>
      </c>
      <c r="B25" s="1"/>
      <c r="C25" s="17">
        <f>SUM(C19:C24)</f>
        <v>2261</v>
      </c>
      <c r="H25" s="5" t="s">
        <v>144</v>
      </c>
      <c r="I25" s="23" t="s">
        <v>205</v>
      </c>
      <c r="J25" s="15">
        <v>300</v>
      </c>
      <c r="L25" s="26">
        <f>Table134567810111213141516171819202122232425262728[[#This Row],[الدولار]]+(Table134567810111213141516171819202122232425262728[[#This Row],[اللبناني]]/90)</f>
        <v>3.3333333333333335</v>
      </c>
      <c r="N25" s="1" t="s">
        <v>1</v>
      </c>
      <c r="O25" s="1"/>
      <c r="P25" s="17">
        <f>SUM(P19:P24)</f>
        <v>1044</v>
      </c>
      <c r="S25" s="15"/>
    </row>
    <row r="26" spans="1:19" x14ac:dyDescent="0.3">
      <c r="B26" s="2">
        <v>0</v>
      </c>
      <c r="C26" s="20"/>
      <c r="D26" s="47" t="s">
        <v>24</v>
      </c>
      <c r="E26" s="47"/>
      <c r="F26" s="19">
        <f ca="1">INDIRECT("'"&amp;$A$16&amp;"'!J13")+J1</f>
        <v>2180</v>
      </c>
      <c r="H26" s="5" t="s">
        <v>144</v>
      </c>
      <c r="I26" s="23" t="s">
        <v>206</v>
      </c>
      <c r="J26" s="15"/>
      <c r="K26" s="8">
        <v>50</v>
      </c>
      <c r="L26" s="26">
        <f>Table134567810111213141516171819202122232425262728[[#This Row],[الدولار]]+(Table134567810111213141516171819202122232425262728[[#This Row],[اللبناني]]/90)</f>
        <v>50</v>
      </c>
      <c r="P26" s="20"/>
      <c r="Q26" s="47" t="s">
        <v>24</v>
      </c>
      <c r="R26" s="47"/>
      <c r="S26" s="19">
        <f>SUM(Table134567810111213141516171819202122232425262728[اللبناني])</f>
        <v>10765</v>
      </c>
    </row>
    <row r="27" spans="1:19" x14ac:dyDescent="0.3">
      <c r="A27" s="47" t="s">
        <v>23</v>
      </c>
      <c r="B27" s="47"/>
      <c r="C27" s="9">
        <f ca="1">INDIRECT("'"&amp;$A$16&amp;"'!K13")+K1</f>
        <v>1188</v>
      </c>
      <c r="F27" s="15"/>
      <c r="H27" s="5" t="s">
        <v>144</v>
      </c>
      <c r="I27" s="23" t="s">
        <v>31</v>
      </c>
      <c r="J27" s="15">
        <v>-300</v>
      </c>
      <c r="L27" s="26">
        <f>Table134567810111213141516171819202122232425262728[[#This Row],[الدولار]]+(Table134567810111213141516171819202122232425262728[[#This Row],[اللبناني]]/90)</f>
        <v>-3.3333333333333335</v>
      </c>
      <c r="N27" s="47" t="s">
        <v>23</v>
      </c>
      <c r="O27" s="47"/>
      <c r="P27" s="9">
        <f>SUM(Table134567810111213141516171819202122232425262728[الدولار])</f>
        <v>1413</v>
      </c>
      <c r="S27" s="15"/>
    </row>
    <row r="28" spans="1:19" x14ac:dyDescent="0.3">
      <c r="C28" s="20"/>
      <c r="D28" s="1" t="s">
        <v>17</v>
      </c>
      <c r="E28" s="1"/>
      <c r="F28" s="19">
        <f ca="1">F24-F26-INDIRECT("'"&amp;$A$16&amp;"'!f20")</f>
        <v>0</v>
      </c>
      <c r="H28" s="5" t="s">
        <v>144</v>
      </c>
      <c r="I28" s="23" t="s">
        <v>18</v>
      </c>
      <c r="J28" s="15">
        <v>-100</v>
      </c>
      <c r="K28" s="8">
        <v>5</v>
      </c>
      <c r="L28" s="26">
        <f>Table134567810111213141516171819202122232425262728[[#This Row],[الدولار]]+(Table134567810111213141516171819202122232425262728[[#This Row],[اللبناني]]/90)</f>
        <v>3.8888888888888888</v>
      </c>
      <c r="P28" s="20"/>
      <c r="Q28" s="1" t="s">
        <v>17</v>
      </c>
      <c r="R28" s="1"/>
      <c r="S28" s="19">
        <f>S24-S26-F24</f>
        <v>-13785</v>
      </c>
    </row>
    <row r="29" spans="1:19" x14ac:dyDescent="0.3">
      <c r="A29" s="1" t="s">
        <v>17</v>
      </c>
      <c r="B29" s="1"/>
      <c r="C29" s="9">
        <f ca="1">C25-C27-INDIRECT("'"&amp;$A$16&amp;"'!c21")</f>
        <v>0</v>
      </c>
      <c r="H29" s="5" t="s">
        <v>144</v>
      </c>
      <c r="I29" s="23" t="s">
        <v>69</v>
      </c>
      <c r="J29" s="15"/>
      <c r="K29" s="8">
        <v>48</v>
      </c>
      <c r="L29" s="26">
        <f>Table134567810111213141516171819202122232425262728[[#This Row],[الدولار]]+(Table134567810111213141516171819202122232425262728[[#This Row],[اللبناني]]/90)</f>
        <v>48</v>
      </c>
      <c r="N29" s="1" t="s">
        <v>17</v>
      </c>
      <c r="O29" s="1"/>
      <c r="P29" s="9">
        <f>P25-P27-C25</f>
        <v>-2630</v>
      </c>
    </row>
    <row r="30" spans="1:19" x14ac:dyDescent="0.3">
      <c r="C30" s="10"/>
      <c r="D30" s="10"/>
      <c r="F30" s="10"/>
      <c r="H30" s="5" t="s">
        <v>144</v>
      </c>
      <c r="I30" s="25" t="s">
        <v>15</v>
      </c>
      <c r="J30" s="13">
        <v>100</v>
      </c>
      <c r="L30" s="26">
        <f>Table134567810111213141516171819202122232425262728[[#This Row],[الدولار]]+(Table134567810111213141516171819202122232425262728[[#This Row],[اللبناني]]/90)</f>
        <v>1.1111111111111112</v>
      </c>
    </row>
    <row r="31" spans="1:19" x14ac:dyDescent="0.3">
      <c r="C31" s="10"/>
      <c r="D31" s="10"/>
      <c r="F31" s="10"/>
      <c r="H31" s="5" t="s">
        <v>144</v>
      </c>
      <c r="I31" s="25" t="s">
        <v>85</v>
      </c>
      <c r="J31" s="13">
        <v>100</v>
      </c>
      <c r="L31" s="26">
        <f>Table134567810111213141516171819202122232425262728[[#This Row],[الدولار]]+(Table134567810111213141516171819202122232425262728[[#This Row],[اللبناني]]/90)</f>
        <v>1.1111111111111112</v>
      </c>
    </row>
    <row r="32" spans="1:19" x14ac:dyDescent="0.3">
      <c r="C32" s="10"/>
      <c r="D32" s="10"/>
      <c r="F32" s="10"/>
      <c r="H32" s="5" t="s">
        <v>144</v>
      </c>
      <c r="I32" s="23" t="s">
        <v>207</v>
      </c>
      <c r="J32" s="13">
        <v>270</v>
      </c>
      <c r="L32" s="26">
        <f>Table134567810111213141516171819202122232425262728[[#This Row],[الدولار]]+(Table134567810111213141516171819202122232425262728[[#This Row],[اللبناني]]/90)</f>
        <v>3</v>
      </c>
    </row>
    <row r="33" spans="3:13" s="8" customFormat="1" x14ac:dyDescent="0.3">
      <c r="C33" s="10"/>
      <c r="D33" s="10"/>
      <c r="E33" s="2"/>
      <c r="F33" s="10"/>
      <c r="G33" s="2"/>
      <c r="H33" s="5" t="s">
        <v>144</v>
      </c>
      <c r="I33" s="25" t="s">
        <v>208</v>
      </c>
      <c r="J33" s="15">
        <v>340</v>
      </c>
      <c r="L33" s="26">
        <f>Table134567810111213141516171819202122232425262728[[#This Row],[الدولار]]+(Table134567810111213141516171819202122232425262728[[#This Row],[اللبناني]]/90)</f>
        <v>3.7777777777777777</v>
      </c>
      <c r="M33" s="6"/>
    </row>
    <row r="34" spans="3:13" s="8" customFormat="1" x14ac:dyDescent="0.3">
      <c r="C34" s="10"/>
      <c r="D34" s="2"/>
      <c r="E34" s="2"/>
      <c r="F34" s="10"/>
      <c r="G34" s="2"/>
      <c r="H34" s="5" t="s">
        <v>144</v>
      </c>
      <c r="I34" s="25" t="s">
        <v>209</v>
      </c>
      <c r="J34" s="15">
        <v>360</v>
      </c>
      <c r="L34" s="26">
        <f>Table134567810111213141516171819202122232425262728[[#This Row],[الدولار]]+(Table134567810111213141516171819202122232425262728[[#This Row],[اللبناني]]/90)</f>
        <v>4</v>
      </c>
      <c r="M34" s="6"/>
    </row>
    <row r="35" spans="3:13" s="8" customFormat="1" x14ac:dyDescent="0.3">
      <c r="C35" s="10"/>
      <c r="D35" s="2"/>
      <c r="E35" s="2"/>
      <c r="F35" s="2"/>
      <c r="G35" s="2"/>
      <c r="H35" s="5" t="s">
        <v>144</v>
      </c>
      <c r="I35" s="25" t="s">
        <v>12</v>
      </c>
      <c r="J35" s="15"/>
      <c r="K35" s="8">
        <v>192</v>
      </c>
      <c r="L35" s="26">
        <f>Table134567810111213141516171819202122232425262728[[#This Row],[الدولار]]+(Table134567810111213141516171819202122232425262728[[#This Row],[اللبناني]]/90)</f>
        <v>192</v>
      </c>
      <c r="M35" s="6"/>
    </row>
    <row r="36" spans="3:13" s="8" customFormat="1" x14ac:dyDescent="0.3">
      <c r="C36" s="2"/>
      <c r="D36" s="2"/>
      <c r="E36" s="2"/>
      <c r="F36" s="6"/>
      <c r="G36" s="2"/>
      <c r="H36" s="5" t="s">
        <v>146</v>
      </c>
      <c r="I36" s="23" t="s">
        <v>12</v>
      </c>
      <c r="J36" s="15"/>
      <c r="K36" s="8">
        <v>-192</v>
      </c>
      <c r="L36" s="26">
        <f>Table134567810111213141516171819202122232425262728[[#This Row],[الدولار]]+(Table134567810111213141516171819202122232425262728[[#This Row],[اللبناني]]/90)</f>
        <v>-192</v>
      </c>
      <c r="M36" s="6"/>
    </row>
    <row r="37" spans="3:13" s="8" customFormat="1" x14ac:dyDescent="0.3">
      <c r="C37" s="6"/>
      <c r="D37" s="2"/>
      <c r="E37" s="2"/>
      <c r="F37" s="2"/>
      <c r="G37" s="2"/>
      <c r="H37" s="5" t="s">
        <v>144</v>
      </c>
      <c r="I37" s="23" t="s">
        <v>210</v>
      </c>
      <c r="J37" s="15">
        <v>-100</v>
      </c>
      <c r="K37" s="8">
        <v>65</v>
      </c>
      <c r="L37" s="26">
        <f>Table134567810111213141516171819202122232425262728[[#This Row],[الدولار]]+(Table134567810111213141516171819202122232425262728[[#This Row],[اللبناني]]/90)</f>
        <v>63.888888888888886</v>
      </c>
      <c r="M37" s="6"/>
    </row>
    <row r="38" spans="3:13" s="8" customFormat="1" x14ac:dyDescent="0.3">
      <c r="C38" s="2"/>
      <c r="D38" s="2"/>
      <c r="E38" s="2"/>
      <c r="F38" s="6"/>
      <c r="G38" s="2"/>
      <c r="H38" s="5" t="s">
        <v>144</v>
      </c>
      <c r="I38" s="23" t="s">
        <v>7</v>
      </c>
      <c r="J38" s="15"/>
      <c r="K38" s="8">
        <v>30</v>
      </c>
      <c r="L38" s="26">
        <f>Table134567810111213141516171819202122232425262728[[#This Row],[الدولار]]+(Table134567810111213141516171819202122232425262728[[#This Row],[اللبناني]]/90)</f>
        <v>30</v>
      </c>
      <c r="M38" s="6"/>
    </row>
    <row r="39" spans="3:13" s="8" customFormat="1" x14ac:dyDescent="0.3">
      <c r="C39" s="6"/>
      <c r="D39" s="2"/>
      <c r="E39" s="2"/>
      <c r="F39" s="2"/>
      <c r="G39" s="2"/>
      <c r="H39" s="5" t="s">
        <v>144</v>
      </c>
      <c r="I39" s="23" t="s">
        <v>211</v>
      </c>
      <c r="J39" s="15">
        <v>-270</v>
      </c>
      <c r="K39" s="8">
        <v>-20</v>
      </c>
      <c r="L39" s="26">
        <f>Table134567810111213141516171819202122232425262728[[#This Row],[الدولار]]+(Table134567810111213141516171819202122232425262728[[#This Row],[اللبناني]]/90)</f>
        <v>-23</v>
      </c>
      <c r="M39" s="6"/>
    </row>
    <row r="40" spans="3:13" s="8" customFormat="1" x14ac:dyDescent="0.3">
      <c r="C40" s="2"/>
      <c r="D40" s="2"/>
      <c r="E40" s="2"/>
      <c r="F40" s="2"/>
      <c r="G40" s="2"/>
      <c r="H40" s="5" t="s">
        <v>144</v>
      </c>
      <c r="I40" s="23" t="s">
        <v>20</v>
      </c>
      <c r="J40" s="15">
        <v>200</v>
      </c>
      <c r="L40" s="26">
        <f>Table134567810111213141516171819202122232425262728[[#This Row],[الدولار]]+(Table134567810111213141516171819202122232425262728[[#This Row],[اللبناني]]/90)</f>
        <v>2.2222222222222223</v>
      </c>
      <c r="M40" s="6"/>
    </row>
    <row r="41" spans="3:13" s="8" customFormat="1" x14ac:dyDescent="0.3">
      <c r="C41" s="2"/>
      <c r="D41" s="2"/>
      <c r="E41" s="2"/>
      <c r="F41" s="2"/>
      <c r="G41" s="2"/>
      <c r="H41" s="5" t="s">
        <v>144</v>
      </c>
      <c r="I41" s="23" t="s">
        <v>212</v>
      </c>
      <c r="J41" s="15"/>
      <c r="K41" s="8">
        <v>45</v>
      </c>
      <c r="L41" s="26">
        <f>Table134567810111213141516171819202122232425262728[[#This Row],[الدولار]]+(Table134567810111213141516171819202122232425262728[[#This Row],[اللبناني]]/90)</f>
        <v>45</v>
      </c>
      <c r="M41" s="6"/>
    </row>
    <row r="42" spans="3:13" s="8" customFormat="1" x14ac:dyDescent="0.3">
      <c r="C42" s="2"/>
      <c r="D42" s="2"/>
      <c r="E42" s="2"/>
      <c r="F42" s="2"/>
      <c r="G42" s="2"/>
      <c r="H42" s="5" t="s">
        <v>144</v>
      </c>
      <c r="I42" s="23" t="s">
        <v>20</v>
      </c>
      <c r="J42" s="15">
        <v>180</v>
      </c>
      <c r="L42" s="26">
        <f>Table134567810111213141516171819202122232425262728[[#This Row],[الدولار]]+(Table134567810111213141516171819202122232425262728[[#This Row],[اللبناني]]/90)</f>
        <v>2</v>
      </c>
      <c r="M42" s="6"/>
    </row>
    <row r="43" spans="3:13" s="8" customFormat="1" x14ac:dyDescent="0.3">
      <c r="C43" s="2"/>
      <c r="D43" s="2"/>
      <c r="E43" s="2"/>
      <c r="F43" s="2"/>
      <c r="G43" s="2"/>
      <c r="H43" s="5" t="s">
        <v>144</v>
      </c>
      <c r="I43" s="23" t="s">
        <v>213</v>
      </c>
      <c r="J43" s="13">
        <v>100</v>
      </c>
      <c r="K43" s="8">
        <v>10</v>
      </c>
      <c r="L43" s="26">
        <f>Table134567810111213141516171819202122232425262728[[#This Row],[الدولار]]+(Table134567810111213141516171819202122232425262728[[#This Row],[اللبناني]]/90)</f>
        <v>11.111111111111111</v>
      </c>
      <c r="M43" s="6"/>
    </row>
    <row r="44" spans="3:13" s="8" customFormat="1" x14ac:dyDescent="0.3">
      <c r="C44" s="2"/>
      <c r="D44" s="2"/>
      <c r="E44" s="2"/>
      <c r="F44" s="2"/>
      <c r="G44" s="2"/>
      <c r="H44" s="5" t="s">
        <v>144</v>
      </c>
      <c r="I44" s="21" t="s">
        <v>104</v>
      </c>
      <c r="J44" s="13">
        <v>30</v>
      </c>
      <c r="L44" s="26">
        <f>Table134567810111213141516171819202122232425262728[[#This Row],[الدولار]]+(Table134567810111213141516171819202122232425262728[[#This Row],[اللبناني]]/90)</f>
        <v>0.33333333333333331</v>
      </c>
      <c r="M44" s="6"/>
    </row>
    <row r="45" spans="3:13" s="8" customFormat="1" x14ac:dyDescent="0.3">
      <c r="C45" s="2"/>
      <c r="D45" s="2"/>
      <c r="E45" s="2"/>
      <c r="F45" s="2"/>
      <c r="G45" s="2"/>
      <c r="H45" s="5" t="s">
        <v>144</v>
      </c>
      <c r="I45" s="21" t="s">
        <v>90</v>
      </c>
      <c r="J45" s="13">
        <v>-270</v>
      </c>
      <c r="K45" s="8">
        <v>10</v>
      </c>
      <c r="L45" s="26">
        <f>Table134567810111213141516171819202122232425262728[[#This Row],[الدولار]]+(Table134567810111213141516171819202122232425262728[[#This Row],[اللبناني]]/90)</f>
        <v>7</v>
      </c>
      <c r="M45" s="6"/>
    </row>
    <row r="46" spans="3:13" s="8" customFormat="1" x14ac:dyDescent="0.3">
      <c r="C46" s="2"/>
      <c r="D46" s="2"/>
      <c r="E46" s="2"/>
      <c r="F46" s="2"/>
      <c r="G46" s="2"/>
      <c r="H46" s="5" t="s">
        <v>144</v>
      </c>
      <c r="I46" s="21" t="s">
        <v>18</v>
      </c>
      <c r="J46" s="13">
        <v>-200</v>
      </c>
      <c r="K46" s="8">
        <v>20</v>
      </c>
      <c r="L46" s="26">
        <f>Table134567810111213141516171819202122232425262728[[#This Row],[الدولار]]+(Table134567810111213141516171819202122232425262728[[#This Row],[اللبناني]]/90)</f>
        <v>17.777777777777779</v>
      </c>
      <c r="M46" s="6"/>
    </row>
    <row r="47" spans="3:13" s="8" customFormat="1" x14ac:dyDescent="0.3">
      <c r="C47" s="2"/>
      <c r="D47" s="2"/>
      <c r="E47" s="2"/>
      <c r="F47" s="2"/>
      <c r="G47" s="2"/>
      <c r="H47" s="5" t="s">
        <v>144</v>
      </c>
      <c r="I47" s="21" t="s">
        <v>14</v>
      </c>
      <c r="J47" s="13">
        <v>400</v>
      </c>
      <c r="L47" s="26">
        <f>Table134567810111213141516171819202122232425262728[[#This Row],[الدولار]]+(Table134567810111213141516171819202122232425262728[[#This Row],[اللبناني]]/90)</f>
        <v>4.4444444444444446</v>
      </c>
      <c r="M47" s="6"/>
    </row>
    <row r="48" spans="3:13" s="8" customFormat="1" x14ac:dyDescent="0.3">
      <c r="C48" s="2"/>
      <c r="D48" s="2"/>
      <c r="E48" s="2"/>
      <c r="F48" s="2"/>
      <c r="G48" s="2"/>
      <c r="H48" s="5" t="s">
        <v>144</v>
      </c>
      <c r="I48" s="21" t="s">
        <v>15</v>
      </c>
      <c r="J48" s="13"/>
      <c r="K48" s="8">
        <v>1</v>
      </c>
      <c r="L48" s="26">
        <f>Table134567810111213141516171819202122232425262728[[#This Row],[الدولار]]+(Table134567810111213141516171819202122232425262728[[#This Row],[اللبناني]]/90)</f>
        <v>1</v>
      </c>
      <c r="M48" s="6"/>
    </row>
    <row r="49" spans="4:19" s="8" customFormat="1" x14ac:dyDescent="0.3">
      <c r="H49" s="5" t="s">
        <v>144</v>
      </c>
      <c r="I49" s="21" t="s">
        <v>214</v>
      </c>
      <c r="J49" s="13"/>
      <c r="K49" s="8">
        <v>5</v>
      </c>
      <c r="L49" s="26">
        <f>Table134567810111213141516171819202122232425262728[[#This Row],[الدولار]]+(Table134567810111213141516171819202122232425262728[[#This Row],[اللبناني]]/90)</f>
        <v>5</v>
      </c>
      <c r="M49" s="6"/>
    </row>
    <row r="50" spans="4:19" s="8" customFormat="1" x14ac:dyDescent="0.3">
      <c r="H50" s="5" t="s">
        <v>144</v>
      </c>
      <c r="I50" s="21" t="s">
        <v>32</v>
      </c>
      <c r="J50" s="13"/>
      <c r="K50" s="8">
        <v>10</v>
      </c>
      <c r="L50" s="26">
        <f>Table134567810111213141516171819202122232425262728[[#This Row],[الدولار]]+(Table134567810111213141516171819202122232425262728[[#This Row],[اللبناني]]/90)</f>
        <v>10</v>
      </c>
      <c r="M50" s="6"/>
    </row>
    <row r="51" spans="4:19" s="8" customFormat="1" x14ac:dyDescent="0.3">
      <c r="H51" s="5" t="s">
        <v>144</v>
      </c>
      <c r="I51" s="21" t="s">
        <v>215</v>
      </c>
      <c r="J51" s="13">
        <v>210</v>
      </c>
      <c r="K51" s="8">
        <v>10</v>
      </c>
      <c r="L51" s="26">
        <f>Table134567810111213141516171819202122232425262728[[#This Row],[الدولار]]+(Table134567810111213141516171819202122232425262728[[#This Row],[اللبناني]]/90)</f>
        <v>12.333333333333334</v>
      </c>
      <c r="M51" s="6"/>
    </row>
    <row r="52" spans="4:19" s="8" customFormat="1" x14ac:dyDescent="0.3">
      <c r="H52" s="5" t="s">
        <v>144</v>
      </c>
      <c r="I52" s="21" t="s">
        <v>216</v>
      </c>
      <c r="J52" s="13">
        <v>30</v>
      </c>
      <c r="L52" s="26">
        <f>Table134567810111213141516171819202122232425262728[[#This Row],[الدولار]]+(Table134567810111213141516171819202122232425262728[[#This Row],[اللبناني]]/90)</f>
        <v>0.33333333333333331</v>
      </c>
      <c r="M52" s="6"/>
    </row>
    <row r="53" spans="4:19" s="8" customFormat="1" x14ac:dyDescent="0.3">
      <c r="H53" s="5" t="s">
        <v>144</v>
      </c>
      <c r="I53" s="21" t="s">
        <v>15</v>
      </c>
      <c r="J53" s="13">
        <v>100</v>
      </c>
      <c r="L53" s="26">
        <f>Table134567810111213141516171819202122232425262728[[#This Row],[الدولار]]+(Table134567810111213141516171819202122232425262728[[#This Row],[اللبناني]]/90)</f>
        <v>1.1111111111111112</v>
      </c>
      <c r="M53" s="6"/>
    </row>
    <row r="54" spans="4:19" s="8" customFormat="1" x14ac:dyDescent="0.3">
      <c r="H54" s="5" t="s">
        <v>144</v>
      </c>
      <c r="I54" s="21" t="s">
        <v>217</v>
      </c>
      <c r="J54" s="13">
        <v>100</v>
      </c>
      <c r="L54" s="26">
        <f>Table134567810111213141516171819202122232425262728[[#This Row],[الدولار]]+(Table134567810111213141516171819202122232425262728[[#This Row],[اللبناني]]/90)</f>
        <v>1.1111111111111112</v>
      </c>
      <c r="M54" s="6"/>
    </row>
    <row r="55" spans="4:19" s="8" customFormat="1" x14ac:dyDescent="0.3">
      <c r="H55" s="5" t="s">
        <v>144</v>
      </c>
      <c r="I55" s="21" t="s">
        <v>18</v>
      </c>
      <c r="J55" s="13">
        <v>220</v>
      </c>
      <c r="L55" s="26">
        <f>Table134567810111213141516171819202122232425262728[[#This Row],[الدولار]]+(Table134567810111213141516171819202122232425262728[[#This Row],[اللبناني]]/90)</f>
        <v>2.4444444444444446</v>
      </c>
      <c r="M55" s="6"/>
    </row>
    <row r="56" spans="4:19" s="8" customFormat="1" x14ac:dyDescent="0.3">
      <c r="H56" s="5" t="s">
        <v>144</v>
      </c>
      <c r="I56" s="21" t="s">
        <v>218</v>
      </c>
      <c r="J56" s="13">
        <v>100</v>
      </c>
      <c r="L56" s="26">
        <f>Table134567810111213141516171819202122232425262728[[#This Row],[الدولار]]+(Table134567810111213141516171819202122232425262728[[#This Row],[اللبناني]]/90)</f>
        <v>1.1111111111111112</v>
      </c>
      <c r="M56" s="6"/>
    </row>
    <row r="57" spans="4:19" s="8" customFormat="1" x14ac:dyDescent="0.3">
      <c r="H57" s="5" t="s">
        <v>146</v>
      </c>
      <c r="I57" s="21" t="s">
        <v>12</v>
      </c>
      <c r="J57" s="13"/>
      <c r="K57" s="8">
        <v>-20</v>
      </c>
      <c r="L57" s="26">
        <f>Table134567810111213141516171819202122232425262728[[#This Row],[الدولار]]+(Table134567810111213141516171819202122232425262728[[#This Row],[اللبناني]]/90)</f>
        <v>-20</v>
      </c>
      <c r="M57" s="6"/>
    </row>
    <row r="58" spans="4:19" s="8" customFormat="1" x14ac:dyDescent="0.3">
      <c r="H58" s="5" t="s">
        <v>144</v>
      </c>
      <c r="I58" s="21" t="s">
        <v>47</v>
      </c>
      <c r="J58" s="13"/>
      <c r="K58" s="8">
        <v>2</v>
      </c>
      <c r="L58" s="26">
        <f>Table134567810111213141516171819202122232425262728[[#This Row],[الدولار]]+(Table134567810111213141516171819202122232425262728[[#This Row],[اللبناني]]/90)</f>
        <v>2</v>
      </c>
      <c r="M58" s="6"/>
    </row>
    <row r="59" spans="4:19" s="8" customFormat="1" x14ac:dyDescent="0.3">
      <c r="H59" s="5" t="s">
        <v>144</v>
      </c>
      <c r="I59" s="21" t="s">
        <v>219</v>
      </c>
      <c r="J59" s="13"/>
      <c r="K59" s="8">
        <v>35</v>
      </c>
      <c r="L59" s="26">
        <f>Table134567810111213141516171819202122232425262728[[#This Row],[الدولار]]+(Table134567810111213141516171819202122232425262728[[#This Row],[اللبناني]]/90)</f>
        <v>35</v>
      </c>
      <c r="M59" s="6"/>
    </row>
    <row r="60" spans="4:19" s="8" customFormat="1" x14ac:dyDescent="0.3">
      <c r="H60" s="5" t="s">
        <v>144</v>
      </c>
      <c r="I60" s="21" t="s">
        <v>91</v>
      </c>
      <c r="J60" s="13"/>
      <c r="K60" s="8">
        <v>35</v>
      </c>
      <c r="L60" s="26">
        <f>Table134567810111213141516171819202122232425262728[[#This Row],[الدولار]]+(Table134567810111213141516171819202122232425262728[[#This Row],[اللبناني]]/90)</f>
        <v>35</v>
      </c>
      <c r="M60" s="6"/>
    </row>
    <row r="61" spans="4:19" s="8" customFormat="1" x14ac:dyDescent="0.3">
      <c r="H61" s="5" t="s">
        <v>144</v>
      </c>
      <c r="I61" s="21" t="s">
        <v>62</v>
      </c>
      <c r="J61" s="13">
        <v>100</v>
      </c>
      <c r="K61" s="8">
        <v>32</v>
      </c>
      <c r="L61" s="26">
        <f>Table134567810111213141516171819202122232425262728[[#This Row],[الدولار]]+(Table134567810111213141516171819202122232425262728[[#This Row],[اللبناني]]/90)</f>
        <v>33.111111111111114</v>
      </c>
      <c r="M61" s="6"/>
      <c r="N61" s="8" t="s">
        <v>220</v>
      </c>
      <c r="P61" s="17">
        <v>2725</v>
      </c>
      <c r="S61" s="14">
        <v>4540</v>
      </c>
    </row>
    <row r="62" spans="4:19" s="8" customFormat="1" x14ac:dyDescent="0.3">
      <c r="D62" s="36"/>
      <c r="H62" s="5" t="s">
        <v>144</v>
      </c>
      <c r="I62" s="21" t="s">
        <v>18</v>
      </c>
      <c r="J62" s="32">
        <v>100</v>
      </c>
      <c r="K62" s="33"/>
      <c r="L62" s="26">
        <f>Table134567810111213141516171819202122232425262728[[#This Row],[الدولار]]+(Table134567810111213141516171819202122232425262728[[#This Row],[اللبناني]]/90)</f>
        <v>1.1111111111111112</v>
      </c>
      <c r="M62" s="6"/>
    </row>
    <row r="63" spans="4:19" s="8" customFormat="1" x14ac:dyDescent="0.3">
      <c r="D63" s="36"/>
      <c r="H63" s="5" t="s">
        <v>144</v>
      </c>
      <c r="I63" s="21" t="s">
        <v>221</v>
      </c>
      <c r="J63" s="34"/>
      <c r="K63" s="35">
        <v>18</v>
      </c>
      <c r="L63" s="26">
        <f>Table134567810111213141516171819202122232425262728[[#This Row],[الدولار]]+(Table134567810111213141516171819202122232425262728[[#This Row],[اللبناني]]/90)</f>
        <v>18</v>
      </c>
      <c r="M63" s="6"/>
    </row>
    <row r="64" spans="4:19" s="8" customFormat="1" x14ac:dyDescent="0.3">
      <c r="D64" s="36"/>
      <c r="H64" s="5" t="s">
        <v>144</v>
      </c>
      <c r="I64" s="21" t="s">
        <v>222</v>
      </c>
      <c r="J64" s="32"/>
      <c r="K64" s="33">
        <v>40</v>
      </c>
      <c r="L64" s="26">
        <f>Table134567810111213141516171819202122232425262728[[#This Row],[الدولار]]+(Table134567810111213141516171819202122232425262728[[#This Row],[اللبناني]]/90)</f>
        <v>40</v>
      </c>
      <c r="M64" s="6"/>
    </row>
    <row r="65" spans="4:13" s="8" customFormat="1" x14ac:dyDescent="0.3">
      <c r="D65" s="36"/>
      <c r="H65" s="5" t="s">
        <v>144</v>
      </c>
      <c r="I65" s="21" t="s">
        <v>49</v>
      </c>
      <c r="J65" s="34">
        <v>180</v>
      </c>
      <c r="K65" s="35">
        <v>100</v>
      </c>
      <c r="L65" s="26">
        <f>Table134567810111213141516171819202122232425262728[[#This Row],[الدولار]]+(Table134567810111213141516171819202122232425262728[[#This Row],[اللبناني]]/90)</f>
        <v>102</v>
      </c>
      <c r="M65" s="6"/>
    </row>
    <row r="66" spans="4:13" s="8" customFormat="1" x14ac:dyDescent="0.3">
      <c r="D66" s="36"/>
      <c r="H66" s="5" t="s">
        <v>144</v>
      </c>
      <c r="I66" s="21" t="s">
        <v>49</v>
      </c>
      <c r="J66" s="32">
        <v>-720</v>
      </c>
      <c r="K66" s="33">
        <v>10</v>
      </c>
      <c r="L66" s="26">
        <f>Table134567810111213141516171819202122232425262728[[#This Row],[الدولار]]+(Table134567810111213141516171819202122232425262728[[#This Row],[اللبناني]]/90)</f>
        <v>2</v>
      </c>
      <c r="M66" s="6"/>
    </row>
    <row r="67" spans="4:13" s="8" customFormat="1" x14ac:dyDescent="0.3">
      <c r="H67" s="5" t="s">
        <v>144</v>
      </c>
      <c r="I67" s="21" t="s">
        <v>89</v>
      </c>
      <c r="J67" s="13">
        <v>175</v>
      </c>
      <c r="K67" s="8">
        <v>10</v>
      </c>
      <c r="L67" s="26">
        <f>Table134567810111213141516171819202122232425262728[[#This Row],[الدولار]]+(Table134567810111213141516171819202122232425262728[[#This Row],[اللبناني]]/90)</f>
        <v>11.944444444444445</v>
      </c>
      <c r="M67" s="6"/>
    </row>
    <row r="68" spans="4:13" s="8" customFormat="1" x14ac:dyDescent="0.3">
      <c r="H68" s="5" t="s">
        <v>144</v>
      </c>
      <c r="I68" s="21"/>
      <c r="J68" s="13">
        <v>-800</v>
      </c>
      <c r="K68" s="8">
        <v>10</v>
      </c>
      <c r="L68" s="26">
        <f>Table134567810111213141516171819202122232425262728[[#This Row],[الدولار]]+(Table134567810111213141516171819202122232425262728[[#This Row],[اللبناني]]/90)</f>
        <v>1.1111111111111107</v>
      </c>
      <c r="M68" s="6"/>
    </row>
    <row r="69" spans="4:13" s="8" customFormat="1" x14ac:dyDescent="0.3">
      <c r="H69" s="5" t="s">
        <v>144</v>
      </c>
      <c r="I69" s="21" t="s">
        <v>61</v>
      </c>
      <c r="J69" s="13">
        <v>295</v>
      </c>
      <c r="K69" s="8">
        <v>70</v>
      </c>
      <c r="L69" s="26">
        <f>Table134567810111213141516171819202122232425262728[[#This Row],[الدولار]]+(Table134567810111213141516171819202122232425262728[[#This Row],[اللبناني]]/90)</f>
        <v>73.277777777777771</v>
      </c>
      <c r="M69" s="6"/>
    </row>
    <row r="70" spans="4:13" s="8" customFormat="1" x14ac:dyDescent="0.3">
      <c r="H70" s="5" t="s">
        <v>144</v>
      </c>
      <c r="I70" s="21" t="s">
        <v>224</v>
      </c>
      <c r="J70" s="13">
        <v>-315</v>
      </c>
      <c r="K70" s="8">
        <v>30</v>
      </c>
      <c r="L70" s="26">
        <f>Table134567810111213141516171819202122232425262728[[#This Row],[الدولار]]+(Table134567810111213141516171819202122232425262728[[#This Row],[اللبناني]]/90)</f>
        <v>26.5</v>
      </c>
      <c r="M70" s="6"/>
    </row>
    <row r="71" spans="4:13" s="8" customFormat="1" x14ac:dyDescent="0.3">
      <c r="H71" s="5" t="s">
        <v>144</v>
      </c>
      <c r="I71" s="21"/>
      <c r="J71" s="13">
        <v>350</v>
      </c>
      <c r="L71" s="26">
        <f>Table134567810111213141516171819202122232425262728[[#This Row],[الدولار]]+(Table134567810111213141516171819202122232425262728[[#This Row],[اللبناني]]/90)</f>
        <v>3.8888888888888888</v>
      </c>
      <c r="M71" s="6"/>
    </row>
    <row r="72" spans="4:13" s="8" customFormat="1" x14ac:dyDescent="0.3">
      <c r="H72" s="5" t="s">
        <v>144</v>
      </c>
      <c r="I72" s="21"/>
      <c r="J72" s="13">
        <v>330</v>
      </c>
      <c r="L72" s="26">
        <f>Table134567810111213141516171819202122232425262728[[#This Row],[الدولار]]+(Table134567810111213141516171819202122232425262728[[#This Row],[اللبناني]]/90)</f>
        <v>3.6666666666666665</v>
      </c>
      <c r="M72" s="6"/>
    </row>
    <row r="73" spans="4:13" s="8" customFormat="1" x14ac:dyDescent="0.3">
      <c r="H73" s="5" t="s">
        <v>144</v>
      </c>
      <c r="I73" s="21"/>
      <c r="J73" s="13">
        <v>285</v>
      </c>
      <c r="K73" s="8">
        <v>50</v>
      </c>
      <c r="L73" s="26">
        <f>Table134567810111213141516171819202122232425262728[[#This Row],[الدولار]]+(Table134567810111213141516171819202122232425262728[[#This Row],[اللبناني]]/90)</f>
        <v>53.166666666666664</v>
      </c>
      <c r="M73" s="6"/>
    </row>
    <row r="74" spans="4:13" s="8" customFormat="1" x14ac:dyDescent="0.3">
      <c r="H74" s="5" t="s">
        <v>144</v>
      </c>
      <c r="I74" s="21"/>
      <c r="J74" s="13"/>
      <c r="K74" s="8">
        <v>15</v>
      </c>
      <c r="L74" s="26">
        <f>Table134567810111213141516171819202122232425262728[[#This Row],[الدولار]]+(Table134567810111213141516171819202122232425262728[[#This Row],[اللبناني]]/90)</f>
        <v>15</v>
      </c>
      <c r="M74" s="6"/>
    </row>
    <row r="75" spans="4:13" s="8" customFormat="1" x14ac:dyDescent="0.3">
      <c r="H75" s="5" t="s">
        <v>144</v>
      </c>
      <c r="I75" s="21"/>
      <c r="J75" s="13"/>
      <c r="K75" s="8">
        <v>100</v>
      </c>
      <c r="L75" s="26">
        <f>Table134567810111213141516171819202122232425262728[[#This Row],[الدولار]]+(Table134567810111213141516171819202122232425262728[[#This Row],[اللبناني]]/90)</f>
        <v>100</v>
      </c>
      <c r="M75" s="6"/>
    </row>
    <row r="76" spans="4:13" s="8" customFormat="1" x14ac:dyDescent="0.3">
      <c r="H76" s="5" t="s">
        <v>144</v>
      </c>
      <c r="I76" s="21"/>
      <c r="J76" s="13">
        <v>-270</v>
      </c>
      <c r="K76" s="8">
        <v>100</v>
      </c>
      <c r="L76" s="26">
        <f>Table134567810111213141516171819202122232425262728[[#This Row],[الدولار]]+(Table134567810111213141516171819202122232425262728[[#This Row],[اللبناني]]/90)</f>
        <v>97</v>
      </c>
      <c r="M76" s="6"/>
    </row>
    <row r="77" spans="4:13" s="8" customFormat="1" x14ac:dyDescent="0.3">
      <c r="H77" s="5" t="s">
        <v>144</v>
      </c>
      <c r="I77" s="21"/>
      <c r="J77" s="13"/>
      <c r="K77" s="8">
        <v>35</v>
      </c>
      <c r="L77" s="26">
        <f>Table134567810111213141516171819202122232425262728[[#This Row],[الدولار]]+(Table134567810111213141516171819202122232425262728[[#This Row],[اللبناني]]/90)</f>
        <v>35</v>
      </c>
      <c r="M77" s="6"/>
    </row>
    <row r="78" spans="4:13" s="8" customFormat="1" x14ac:dyDescent="0.3">
      <c r="H78" s="5" t="s">
        <v>144</v>
      </c>
      <c r="I78" s="21"/>
      <c r="J78" s="13">
        <v>300</v>
      </c>
      <c r="L78" s="26">
        <f>Table134567810111213141516171819202122232425262728[[#This Row],[الدولار]]+(Table134567810111213141516171819202122232425262728[[#This Row],[اللبناني]]/90)</f>
        <v>3.3333333333333335</v>
      </c>
      <c r="M78" s="6"/>
    </row>
    <row r="79" spans="4:13" s="8" customFormat="1" x14ac:dyDescent="0.3">
      <c r="H79" s="5" t="s">
        <v>144</v>
      </c>
      <c r="I79" s="21"/>
      <c r="J79" s="13">
        <v>20</v>
      </c>
      <c r="L79" s="26">
        <f>Table134567810111213141516171819202122232425262728[[#This Row],[الدولار]]+(Table134567810111213141516171819202122232425262728[[#This Row],[اللبناني]]/90)</f>
        <v>0.22222222222222221</v>
      </c>
      <c r="M79" s="6"/>
    </row>
    <row r="80" spans="4:13" s="8" customFormat="1" x14ac:dyDescent="0.3">
      <c r="H80" s="5" t="s">
        <v>144</v>
      </c>
      <c r="I80" s="21"/>
      <c r="J80" s="13"/>
      <c r="K80" s="8">
        <v>15</v>
      </c>
      <c r="L80" s="26">
        <f>Table134567810111213141516171819202122232425262728[[#This Row],[الدولار]]+(Table134567810111213141516171819202122232425262728[[#This Row],[اللبناني]]/90)</f>
        <v>15</v>
      </c>
      <c r="M80" s="6"/>
    </row>
    <row r="81" spans="8:13" s="8" customFormat="1" x14ac:dyDescent="0.3">
      <c r="H81" s="5" t="s">
        <v>144</v>
      </c>
      <c r="I81" s="21"/>
      <c r="J81" s="13">
        <v>1930</v>
      </c>
      <c r="L81" s="26">
        <f>Table134567810111213141516171819202122232425262728[[#This Row],[الدولار]]+(Table134567810111213141516171819202122232425262728[[#This Row],[اللبناني]]/90)</f>
        <v>21.444444444444443</v>
      </c>
      <c r="M81" s="6"/>
    </row>
    <row r="82" spans="8:13" s="8" customFormat="1" x14ac:dyDescent="0.3">
      <c r="H82" s="5" t="s">
        <v>144</v>
      </c>
      <c r="I82" s="21"/>
      <c r="J82" s="13"/>
      <c r="K82" s="8">
        <v>5</v>
      </c>
      <c r="L82" s="26">
        <f>Table134567810111213141516171819202122232425262728[[#This Row],[الدولار]]+(Table134567810111213141516171819202122232425262728[[#This Row],[اللبناني]]/90)</f>
        <v>5</v>
      </c>
      <c r="M82" s="6"/>
    </row>
    <row r="83" spans="8:13" s="8" customFormat="1" x14ac:dyDescent="0.3">
      <c r="H83" s="5" t="s">
        <v>144</v>
      </c>
      <c r="I83" s="21"/>
      <c r="J83" s="13">
        <v>200</v>
      </c>
      <c r="L83" s="26">
        <f>Table134567810111213141516171819202122232425262728[[#This Row],[الدولار]]+(Table134567810111213141516171819202122232425262728[[#This Row],[اللبناني]]/90)</f>
        <v>2.2222222222222223</v>
      </c>
      <c r="M83" s="6"/>
    </row>
    <row r="84" spans="8:13" s="8" customFormat="1" x14ac:dyDescent="0.3">
      <c r="H84" s="5" t="s">
        <v>144</v>
      </c>
      <c r="I84" s="21"/>
      <c r="J84" s="13">
        <v>160</v>
      </c>
      <c r="L84" s="26">
        <f>Table134567810111213141516171819202122232425262728[[#This Row],[الدولار]]+(Table134567810111213141516171819202122232425262728[[#This Row],[اللبناني]]/90)</f>
        <v>1.7777777777777777</v>
      </c>
      <c r="M84" s="6"/>
    </row>
    <row r="85" spans="8:13" s="8" customFormat="1" x14ac:dyDescent="0.3">
      <c r="H85" s="5" t="s">
        <v>144</v>
      </c>
      <c r="I85" s="21"/>
      <c r="J85" s="13">
        <v>2300</v>
      </c>
      <c r="L85" s="26">
        <f>Table134567810111213141516171819202122232425262728[[#This Row],[الدولار]]+(Table134567810111213141516171819202122232425262728[[#This Row],[اللبناني]]/90)</f>
        <v>25.555555555555557</v>
      </c>
      <c r="M85" s="6"/>
    </row>
    <row r="86" spans="8:13" s="8" customFormat="1" x14ac:dyDescent="0.3">
      <c r="H86" s="5" t="s">
        <v>144</v>
      </c>
      <c r="I86" s="21"/>
      <c r="J86" s="13">
        <v>200</v>
      </c>
      <c r="L86" s="26">
        <f>Table134567810111213141516171819202122232425262728[[#This Row],[الدولار]]+(Table134567810111213141516171819202122232425262728[[#This Row],[اللبناني]]/90)</f>
        <v>2.2222222222222223</v>
      </c>
      <c r="M86" s="6"/>
    </row>
    <row r="87" spans="8:13" s="8" customFormat="1" x14ac:dyDescent="0.3">
      <c r="H87" s="5" t="s">
        <v>144</v>
      </c>
      <c r="I87" s="21"/>
      <c r="J87" s="13">
        <v>-225</v>
      </c>
      <c r="K87" s="8">
        <v>10</v>
      </c>
      <c r="L87" s="26">
        <f>Table134567810111213141516171819202122232425262728[[#This Row],[الدولار]]+(Table134567810111213141516171819202122232425262728[[#This Row],[اللبناني]]/90)</f>
        <v>7.5</v>
      </c>
      <c r="M87" s="6"/>
    </row>
    <row r="88" spans="8:13" s="8" customFormat="1" x14ac:dyDescent="0.3">
      <c r="H88" s="5" t="s">
        <v>144</v>
      </c>
      <c r="I88" s="21"/>
      <c r="J88" s="13">
        <v>70</v>
      </c>
      <c r="L88" s="26">
        <f>Table134567810111213141516171819202122232425262728[[#This Row],[الدولار]]+(Table134567810111213141516171819202122232425262728[[#This Row],[اللبناني]]/90)</f>
        <v>0.77777777777777779</v>
      </c>
      <c r="M88" s="6"/>
    </row>
    <row r="89" spans="8:13" s="8" customFormat="1" x14ac:dyDescent="0.3">
      <c r="H89" s="5" t="s">
        <v>144</v>
      </c>
      <c r="I89" s="21"/>
      <c r="J89" s="13">
        <v>50</v>
      </c>
      <c r="L89" s="26">
        <f>Table134567810111213141516171819202122232425262728[[#This Row],[الدولار]]+(Table134567810111213141516171819202122232425262728[[#This Row],[اللبناني]]/90)</f>
        <v>0.55555555555555558</v>
      </c>
      <c r="M89" s="6"/>
    </row>
    <row r="90" spans="8:13" s="8" customFormat="1" x14ac:dyDescent="0.3">
      <c r="H90" s="5" t="s">
        <v>144</v>
      </c>
      <c r="I90" s="21"/>
      <c r="J90" s="13">
        <v>30</v>
      </c>
      <c r="K90" s="8">
        <v>2</v>
      </c>
      <c r="L90" s="26">
        <f>Table134567810111213141516171819202122232425262728[[#This Row],[الدولار]]+(Table134567810111213141516171819202122232425262728[[#This Row],[اللبناني]]/90)</f>
        <v>2.3333333333333335</v>
      </c>
      <c r="M90" s="6"/>
    </row>
    <row r="91" spans="8:13" s="8" customFormat="1" x14ac:dyDescent="0.3">
      <c r="H91" s="5" t="s">
        <v>144</v>
      </c>
      <c r="I91" s="21"/>
      <c r="J91" s="13"/>
      <c r="K91" s="8">
        <v>10</v>
      </c>
      <c r="L91" s="26">
        <f>Table134567810111213141516171819202122232425262728[[#This Row],[الدولار]]+(Table134567810111213141516171819202122232425262728[[#This Row],[اللبناني]]/90)</f>
        <v>10</v>
      </c>
      <c r="M91" s="6"/>
    </row>
    <row r="92" spans="8:13" s="8" customFormat="1" x14ac:dyDescent="0.3">
      <c r="H92" s="5" t="s">
        <v>144</v>
      </c>
      <c r="I92" s="21"/>
      <c r="J92" s="13">
        <v>1400</v>
      </c>
      <c r="K92" s="8">
        <v>5</v>
      </c>
      <c r="L92" s="26">
        <f>Table134567810111213141516171819202122232425262728[[#This Row],[الدولار]]+(Table134567810111213141516171819202122232425262728[[#This Row],[اللبناني]]/90)</f>
        <v>20.555555555555557</v>
      </c>
      <c r="M92" s="6"/>
    </row>
    <row r="93" spans="8:13" s="8" customFormat="1" x14ac:dyDescent="0.3">
      <c r="H93" s="5" t="s">
        <v>144</v>
      </c>
      <c r="I93" s="21"/>
      <c r="J93" s="13"/>
      <c r="K93" s="8">
        <v>307</v>
      </c>
      <c r="L93" s="26">
        <f>Table134567810111213141516171819202122232425262728[[#This Row],[الدولار]]+(Table134567810111213141516171819202122232425262728[[#This Row],[اللبناني]]/90)</f>
        <v>307</v>
      </c>
      <c r="M93" s="6"/>
    </row>
    <row r="94" spans="8:13" s="8" customFormat="1" x14ac:dyDescent="0.3">
      <c r="H94" s="5" t="s">
        <v>144</v>
      </c>
      <c r="I94" s="21"/>
      <c r="J94" s="13"/>
      <c r="K94" s="8">
        <v>-307</v>
      </c>
      <c r="L94" s="26">
        <f>Table134567810111213141516171819202122232425262728[[#This Row],[الدولار]]+(Table134567810111213141516171819202122232425262728[[#This Row],[اللبناني]]/90)</f>
        <v>-307</v>
      </c>
      <c r="M94" s="6"/>
    </row>
    <row r="95" spans="8:13" s="8" customFormat="1" x14ac:dyDescent="0.3">
      <c r="H95" s="5" t="s">
        <v>144</v>
      </c>
      <c r="I95" s="21"/>
      <c r="J95" s="13"/>
      <c r="K95" s="8">
        <v>15</v>
      </c>
      <c r="L95" s="26">
        <f>Table134567810111213141516171819202122232425262728[[#This Row],[الدولار]]+(Table134567810111213141516171819202122232425262728[[#This Row],[اللبناني]]/90)</f>
        <v>15</v>
      </c>
      <c r="M95" s="6"/>
    </row>
    <row r="96" spans="8:13" s="8" customFormat="1" x14ac:dyDescent="0.3">
      <c r="H96" s="5" t="s">
        <v>144</v>
      </c>
      <c r="I96" s="21"/>
      <c r="J96" s="13">
        <v>60</v>
      </c>
      <c r="L96" s="26">
        <f>Table134567810111213141516171819202122232425262728[[#This Row],[الدولار]]+(Table134567810111213141516171819202122232425262728[[#This Row],[اللبناني]]/90)</f>
        <v>0.66666666666666663</v>
      </c>
      <c r="M96" s="6"/>
    </row>
    <row r="97" spans="8:13" s="8" customFormat="1" x14ac:dyDescent="0.3">
      <c r="H97" s="5" t="s">
        <v>144</v>
      </c>
      <c r="I97" s="21"/>
      <c r="J97" s="13"/>
      <c r="K97" s="8">
        <v>5</v>
      </c>
      <c r="L97" s="26">
        <f>Table134567810111213141516171819202122232425262728[[#This Row],[الدولار]]+(Table134567810111213141516171819202122232425262728[[#This Row],[اللبناني]]/90)</f>
        <v>5</v>
      </c>
      <c r="M97" s="6"/>
    </row>
    <row r="98" spans="8:13" s="8" customFormat="1" x14ac:dyDescent="0.3">
      <c r="H98" s="5" t="s">
        <v>144</v>
      </c>
      <c r="I98" s="21"/>
      <c r="J98" s="13"/>
      <c r="K98" s="8">
        <v>40</v>
      </c>
      <c r="L98" s="26">
        <f>Table134567810111213141516171819202122232425262728[[#This Row],[الدولار]]+(Table134567810111213141516171819202122232425262728[[#This Row],[اللبناني]]/90)</f>
        <v>40</v>
      </c>
      <c r="M98" s="6"/>
    </row>
    <row r="99" spans="8:13" s="8" customFormat="1" x14ac:dyDescent="0.3">
      <c r="H99" s="5" t="s">
        <v>144</v>
      </c>
      <c r="I99" s="21"/>
      <c r="J99" s="13">
        <v>150</v>
      </c>
      <c r="L99" s="26">
        <f>Table134567810111213141516171819202122232425262728[[#This Row],[الدولار]]+(Table134567810111213141516171819202122232425262728[[#This Row],[اللبناني]]/90)</f>
        <v>1.6666666666666667</v>
      </c>
      <c r="M99" s="6"/>
    </row>
    <row r="100" spans="8:13" s="8" customFormat="1" x14ac:dyDescent="0.3">
      <c r="H100" s="5" t="s">
        <v>145</v>
      </c>
      <c r="I100" s="21"/>
      <c r="J100" s="13">
        <v>-50</v>
      </c>
      <c r="L100" s="26">
        <f>Table134567810111213141516171819202122232425262728[[#This Row],[الدولار]]+(Table134567810111213141516171819202122232425262728[[#This Row],[اللبناني]]/90)</f>
        <v>-0.55555555555555558</v>
      </c>
      <c r="M100" s="6"/>
    </row>
    <row r="101" spans="8:13" s="8" customFormat="1" x14ac:dyDescent="0.3">
      <c r="H101" s="5" t="s">
        <v>144</v>
      </c>
      <c r="I101" s="21"/>
      <c r="J101" s="13">
        <v>400</v>
      </c>
      <c r="L101" s="26">
        <f>Table134567810111213141516171819202122232425262728[[#This Row],[الدولار]]+(Table134567810111213141516171819202122232425262728[[#This Row],[اللبناني]]/90)</f>
        <v>4.4444444444444446</v>
      </c>
      <c r="M101" s="6"/>
    </row>
    <row r="102" spans="8:13" s="8" customFormat="1" x14ac:dyDescent="0.3">
      <c r="H102" s="5" t="s">
        <v>144</v>
      </c>
      <c r="I102" s="21"/>
      <c r="J102" s="13">
        <v>960</v>
      </c>
      <c r="L102" s="26">
        <f>Table134567810111213141516171819202122232425262728[[#This Row],[الدولار]]+(Table134567810111213141516171819202122232425262728[[#This Row],[اللبناني]]/90)</f>
        <v>10.666666666666666</v>
      </c>
      <c r="M102" s="6"/>
    </row>
    <row r="103" spans="8:13" s="8" customFormat="1" x14ac:dyDescent="0.3">
      <c r="H103" s="5" t="s">
        <v>144</v>
      </c>
      <c r="I103" s="21"/>
      <c r="J103" s="13">
        <v>400</v>
      </c>
      <c r="L103" s="26">
        <f>Table134567810111213141516171819202122232425262728[[#This Row],[الدولار]]+(Table134567810111213141516171819202122232425262728[[#This Row],[اللبناني]]/90)</f>
        <v>4.4444444444444446</v>
      </c>
      <c r="M103" s="6"/>
    </row>
    <row r="104" spans="8:13" s="8" customFormat="1" x14ac:dyDescent="0.3">
      <c r="H104" s="5" t="s">
        <v>144</v>
      </c>
      <c r="I104" s="21"/>
      <c r="J104" s="13"/>
      <c r="K104" s="8">
        <v>34</v>
      </c>
      <c r="L104" s="26">
        <f>Table134567810111213141516171819202122232425262728[[#This Row],[الدولار]]+(Table134567810111213141516171819202122232425262728[[#This Row],[اللبناني]]/90)</f>
        <v>34</v>
      </c>
      <c r="M104" s="6"/>
    </row>
    <row r="105" spans="8:13" s="8" customFormat="1" x14ac:dyDescent="0.3">
      <c r="H105" s="5" t="s">
        <v>144</v>
      </c>
      <c r="I105" s="21"/>
      <c r="J105" s="13"/>
      <c r="K105" s="8">
        <v>40</v>
      </c>
      <c r="L105" s="26">
        <f>Table134567810111213141516171819202122232425262728[[#This Row],[الدولار]]+(Table134567810111213141516171819202122232425262728[[#This Row],[اللبناني]]/90)</f>
        <v>40</v>
      </c>
      <c r="M105" s="6"/>
    </row>
    <row r="106" spans="8:13" s="8" customFormat="1" x14ac:dyDescent="0.3">
      <c r="H106" s="5" t="s">
        <v>144</v>
      </c>
      <c r="I106" s="21"/>
      <c r="J106" s="13">
        <v>-360</v>
      </c>
      <c r="L106" s="26">
        <f>Table134567810111213141516171819202122232425262728[[#This Row],[الدولار]]+(Table134567810111213141516171819202122232425262728[[#This Row],[اللبناني]]/90)</f>
        <v>-4</v>
      </c>
      <c r="M106" s="6"/>
    </row>
    <row r="107" spans="8:13" s="8" customFormat="1" x14ac:dyDescent="0.3">
      <c r="H107" s="5" t="s">
        <v>144</v>
      </c>
      <c r="I107" s="21"/>
      <c r="J107" s="13"/>
      <c r="K107" s="8">
        <v>127</v>
      </c>
      <c r="L107" s="26">
        <f>Table134567810111213141516171819202122232425262728[[#This Row],[الدولار]]+(Table134567810111213141516171819202122232425262728[[#This Row],[اللبناني]]/90)</f>
        <v>127</v>
      </c>
      <c r="M107" s="6"/>
    </row>
    <row r="108" spans="8:13" s="8" customFormat="1" x14ac:dyDescent="0.3">
      <c r="H108" s="5" t="s">
        <v>144</v>
      </c>
      <c r="I108" s="21"/>
      <c r="J108" s="13">
        <v>-100</v>
      </c>
      <c r="K108" s="8">
        <v>2</v>
      </c>
      <c r="L108" s="26">
        <f>Table134567810111213141516171819202122232425262728[[#This Row],[الدولار]]+(Table134567810111213141516171819202122232425262728[[#This Row],[اللبناني]]/90)</f>
        <v>0.88888888888888884</v>
      </c>
      <c r="M108" s="6"/>
    </row>
    <row r="109" spans="8:13" s="8" customFormat="1" x14ac:dyDescent="0.3">
      <c r="H109" s="5" t="s">
        <v>144</v>
      </c>
      <c r="I109" s="21"/>
      <c r="J109" s="13">
        <v>100</v>
      </c>
      <c r="L109" s="26">
        <f>Table134567810111213141516171819202122232425262728[[#This Row],[الدولار]]+(Table134567810111213141516171819202122232425262728[[#This Row],[اللبناني]]/90)</f>
        <v>1.1111111111111112</v>
      </c>
      <c r="M109" s="6"/>
    </row>
    <row r="110" spans="8:13" s="8" customFormat="1" x14ac:dyDescent="0.3">
      <c r="H110" s="5" t="s">
        <v>144</v>
      </c>
      <c r="I110" s="21"/>
      <c r="J110" s="13">
        <v>150</v>
      </c>
      <c r="L110" s="26">
        <f>Table134567810111213141516171819202122232425262728[[#This Row],[الدولار]]+(Table134567810111213141516171819202122232425262728[[#This Row],[اللبناني]]/90)</f>
        <v>1.6666666666666667</v>
      </c>
      <c r="M110" s="6"/>
    </row>
    <row r="111" spans="8:13" s="8" customFormat="1" x14ac:dyDescent="0.3">
      <c r="H111" s="5" t="s">
        <v>144</v>
      </c>
      <c r="I111" s="21"/>
      <c r="J111" s="13">
        <v>320</v>
      </c>
      <c r="L111" s="26">
        <f>Table134567810111213141516171819202122232425262728[[#This Row],[الدولار]]+(Table134567810111213141516171819202122232425262728[[#This Row],[اللبناني]]/90)</f>
        <v>3.5555555555555554</v>
      </c>
      <c r="M111" s="6"/>
    </row>
    <row r="112" spans="8:13" s="8" customFormat="1" x14ac:dyDescent="0.3">
      <c r="H112" s="5" t="s">
        <v>144</v>
      </c>
      <c r="I112" s="21"/>
      <c r="J112" s="13">
        <v>100</v>
      </c>
      <c r="K112" s="8">
        <v>13</v>
      </c>
      <c r="L112" s="26">
        <f>Table134567810111213141516171819202122232425262728[[#This Row],[الدولار]]+(Table134567810111213141516171819202122232425262728[[#This Row],[اللبناني]]/90)</f>
        <v>14.111111111111111</v>
      </c>
      <c r="M112" s="6"/>
    </row>
    <row r="113" spans="8:13" s="8" customFormat="1" x14ac:dyDescent="0.3">
      <c r="H113" s="5" t="s">
        <v>144</v>
      </c>
      <c r="I113" s="21"/>
      <c r="J113" s="13">
        <v>100</v>
      </c>
      <c r="L113" s="26">
        <f>Table134567810111213141516171819202122232425262728[[#This Row],[الدولار]]+(Table134567810111213141516171819202122232425262728[[#This Row],[اللبناني]]/90)</f>
        <v>1.1111111111111112</v>
      </c>
      <c r="M113" s="6"/>
    </row>
    <row r="114" spans="8:13" s="8" customFormat="1" x14ac:dyDescent="0.3">
      <c r="H114" s="5" t="s">
        <v>144</v>
      </c>
      <c r="I114" s="21"/>
      <c r="J114" s="13">
        <v>120</v>
      </c>
      <c r="L114" s="26">
        <f>Table134567810111213141516171819202122232425262728[[#This Row],[الدولار]]+(Table134567810111213141516171819202122232425262728[[#This Row],[اللبناني]]/90)</f>
        <v>1.3333333333333333</v>
      </c>
      <c r="M114" s="6"/>
    </row>
    <row r="115" spans="8:13" s="8" customFormat="1" x14ac:dyDescent="0.3">
      <c r="H115" s="5" t="s">
        <v>144</v>
      </c>
      <c r="I115" s="21"/>
      <c r="J115" s="13"/>
      <c r="K115" s="8">
        <v>2</v>
      </c>
      <c r="L115" s="26">
        <f>Table134567810111213141516171819202122232425262728[[#This Row],[الدولار]]+(Table134567810111213141516171819202122232425262728[[#This Row],[اللبناني]]/90)</f>
        <v>2</v>
      </c>
      <c r="M115" s="6"/>
    </row>
    <row r="116" spans="8:13" s="8" customFormat="1" x14ac:dyDescent="0.3">
      <c r="H116" s="5" t="s">
        <v>144</v>
      </c>
      <c r="I116" s="21"/>
      <c r="J116" s="13">
        <v>450</v>
      </c>
      <c r="K116" s="8">
        <v>5</v>
      </c>
      <c r="L116" s="26">
        <f>Table134567810111213141516171819202122232425262728[[#This Row],[الدولار]]+(Table134567810111213141516171819202122232425262728[[#This Row],[اللبناني]]/90)</f>
        <v>10</v>
      </c>
      <c r="M116" s="6"/>
    </row>
    <row r="117" spans="8:13" s="8" customFormat="1" x14ac:dyDescent="0.3">
      <c r="H117" s="5" t="s">
        <v>144</v>
      </c>
      <c r="I117" s="21"/>
      <c r="J117" s="13">
        <v>50</v>
      </c>
      <c r="K117" s="8">
        <v>3</v>
      </c>
      <c r="L117" s="26">
        <f>Table134567810111213141516171819202122232425262728[[#This Row],[الدولار]]+(Table134567810111213141516171819202122232425262728[[#This Row],[اللبناني]]/90)</f>
        <v>3.5555555555555554</v>
      </c>
      <c r="M117" s="6"/>
    </row>
    <row r="118" spans="8:13" s="8" customFormat="1" x14ac:dyDescent="0.3">
      <c r="H118" s="5" t="s">
        <v>144</v>
      </c>
      <c r="I118" s="21"/>
      <c r="J118" s="13"/>
      <c r="K118" s="8">
        <v>10</v>
      </c>
      <c r="L118" s="26">
        <f>Table134567810111213141516171819202122232425262728[[#This Row],[الدولار]]+(Table134567810111213141516171819202122232425262728[[#This Row],[اللبناني]]/90)</f>
        <v>10</v>
      </c>
      <c r="M118" s="6"/>
    </row>
    <row r="119" spans="8:13" s="8" customFormat="1" x14ac:dyDescent="0.3">
      <c r="H119" s="5" t="s">
        <v>144</v>
      </c>
      <c r="I119" s="21"/>
      <c r="J119" s="13">
        <v>400</v>
      </c>
      <c r="L119" s="26">
        <f>Table134567810111213141516171819202122232425262728[[#This Row],[الدولار]]+(Table134567810111213141516171819202122232425262728[[#This Row],[اللبناني]]/90)</f>
        <v>4.4444444444444446</v>
      </c>
      <c r="M119" s="6"/>
    </row>
    <row r="120" spans="8:13" s="8" customFormat="1" x14ac:dyDescent="0.3">
      <c r="H120" s="5" t="s">
        <v>144</v>
      </c>
      <c r="I120" s="21"/>
      <c r="J120" s="13"/>
      <c r="K120" s="8">
        <v>18</v>
      </c>
      <c r="L120" s="26">
        <f>Table134567810111213141516171819202122232425262728[[#This Row],[الدولار]]+(Table134567810111213141516171819202122232425262728[[#This Row],[اللبناني]]/90)</f>
        <v>18</v>
      </c>
      <c r="M120" s="6"/>
    </row>
    <row r="121" spans="8:13" s="8" customFormat="1" x14ac:dyDescent="0.3">
      <c r="H121" s="5" t="s">
        <v>145</v>
      </c>
      <c r="I121" s="21"/>
      <c r="J121" s="13">
        <v>-300</v>
      </c>
      <c r="L121" s="26">
        <f>Table134567810111213141516171819202122232425262728[[#This Row],[الدولار]]+(Table134567810111213141516171819202122232425262728[[#This Row],[اللبناني]]/90)</f>
        <v>-3.3333333333333335</v>
      </c>
      <c r="M121" s="6"/>
    </row>
    <row r="122" spans="8:13" s="8" customFormat="1" x14ac:dyDescent="0.3">
      <c r="H122" s="5" t="s">
        <v>144</v>
      </c>
      <c r="I122" s="21"/>
      <c r="J122" s="13">
        <v>400</v>
      </c>
      <c r="L122" s="26">
        <f>Table134567810111213141516171819202122232425262728[[#This Row],[الدولار]]+(Table134567810111213141516171819202122232425262728[[#This Row],[اللبناني]]/90)</f>
        <v>4.4444444444444446</v>
      </c>
      <c r="M122" s="6"/>
    </row>
    <row r="123" spans="8:13" s="8" customFormat="1" x14ac:dyDescent="0.3">
      <c r="H123" s="5" t="s">
        <v>144</v>
      </c>
      <c r="I123" s="21"/>
      <c r="J123" s="13"/>
      <c r="L123" s="26">
        <f>Table134567810111213141516171819202122232425262728[[#This Row],[الدولار]]+(Table134567810111213141516171819202122232425262728[[#This Row],[اللبناني]]/90)</f>
        <v>0</v>
      </c>
      <c r="M123" s="6"/>
    </row>
    <row r="124" spans="8:13" s="8" customFormat="1" x14ac:dyDescent="0.3">
      <c r="H124" s="5" t="s">
        <v>144</v>
      </c>
      <c r="I124" s="21"/>
      <c r="J124" s="13"/>
      <c r="L124" s="26">
        <f>Table134567810111213141516171819202122232425262728[[#This Row],[الدولار]]+(Table134567810111213141516171819202122232425262728[[#This Row],[اللبناني]]/90)</f>
        <v>0</v>
      </c>
      <c r="M124" s="6"/>
    </row>
    <row r="125" spans="8:13" s="8" customFormat="1" x14ac:dyDescent="0.3">
      <c r="H125" s="5" t="s">
        <v>144</v>
      </c>
      <c r="I125" s="21"/>
      <c r="J125" s="13"/>
      <c r="L125" s="26">
        <f>Table134567810111213141516171819202122232425262728[[#This Row],[الدولار]]+(Table134567810111213141516171819202122232425262728[[#This Row],[اللبناني]]/90)</f>
        <v>0</v>
      </c>
      <c r="M125" s="6"/>
    </row>
    <row r="126" spans="8:13" s="8" customFormat="1" x14ac:dyDescent="0.3">
      <c r="H126" s="5" t="s">
        <v>144</v>
      </c>
      <c r="I126" s="21"/>
      <c r="J126" s="13"/>
      <c r="L126" s="26">
        <f>Table134567810111213141516171819202122232425262728[[#This Row],[الدولار]]+(Table134567810111213141516171819202122232425262728[[#This Row],[اللبناني]]/90)</f>
        <v>0</v>
      </c>
      <c r="M126" s="6"/>
    </row>
    <row r="127" spans="8:13" s="8" customFormat="1" x14ac:dyDescent="0.3">
      <c r="H127" s="5" t="s">
        <v>144</v>
      </c>
      <c r="I127" s="21"/>
      <c r="J127" s="13"/>
      <c r="L127" s="26">
        <f>Table134567810111213141516171819202122232425262728[[#This Row],[الدولار]]+(Table134567810111213141516171819202122232425262728[[#This Row],[اللبناني]]/90)</f>
        <v>0</v>
      </c>
      <c r="M127" s="6"/>
    </row>
    <row r="128" spans="8:13" s="8" customFormat="1" x14ac:dyDescent="0.3">
      <c r="H128" s="5" t="s">
        <v>144</v>
      </c>
      <c r="I128" s="21"/>
      <c r="J128" s="13"/>
      <c r="L128" s="26">
        <f>Table134567810111213141516171819202122232425262728[[#This Row],[الدولار]]+(Table134567810111213141516171819202122232425262728[[#This Row],[اللبناني]]/90)</f>
        <v>0</v>
      </c>
      <c r="M128" s="6"/>
    </row>
    <row r="129" spans="8:13" s="8" customFormat="1" x14ac:dyDescent="0.3">
      <c r="H129" s="5" t="s">
        <v>144</v>
      </c>
      <c r="I129" s="21"/>
      <c r="J129" s="13"/>
      <c r="L129" s="26">
        <f>Table134567810111213141516171819202122232425262728[[#This Row],[الدولار]]+(Table134567810111213141516171819202122232425262728[[#This Row],[اللبناني]]/90)</f>
        <v>0</v>
      </c>
      <c r="M129" s="6"/>
    </row>
    <row r="130" spans="8:13" s="8" customFormat="1" x14ac:dyDescent="0.3">
      <c r="H130" s="5" t="s">
        <v>144</v>
      </c>
      <c r="I130" s="21"/>
      <c r="J130" s="13"/>
      <c r="L130" s="26">
        <f>Table134567810111213141516171819202122232425262728[[#This Row],[الدولار]]+(Table134567810111213141516171819202122232425262728[[#This Row],[اللبناني]]/90)</f>
        <v>0</v>
      </c>
      <c r="M130" s="6"/>
    </row>
    <row r="131" spans="8:13" s="8" customFormat="1" x14ac:dyDescent="0.3">
      <c r="H131" s="5" t="s">
        <v>144</v>
      </c>
      <c r="I131" s="21"/>
      <c r="J131" s="13"/>
      <c r="L131" s="26">
        <f>Table134567810111213141516171819202122232425262728[[#This Row],[الدولار]]+(Table134567810111213141516171819202122232425262728[[#This Row],[اللبناني]]/90)</f>
        <v>0</v>
      </c>
      <c r="M131" s="6"/>
    </row>
    <row r="132" spans="8:13" s="8" customFormat="1" x14ac:dyDescent="0.3">
      <c r="H132" s="5" t="s">
        <v>144</v>
      </c>
      <c r="I132" s="21"/>
      <c r="J132" s="13"/>
      <c r="L132" s="26">
        <f>Table134567810111213141516171819202122232425262728[[#This Row],[الدولار]]+(Table134567810111213141516171819202122232425262728[[#This Row],[اللبناني]]/90)</f>
        <v>0</v>
      </c>
      <c r="M132" s="6"/>
    </row>
    <row r="133" spans="8:13" s="8" customFormat="1" x14ac:dyDescent="0.3">
      <c r="H133" s="5" t="s">
        <v>144</v>
      </c>
      <c r="I133" s="21"/>
      <c r="J133" s="13"/>
      <c r="L133" s="26">
        <f>Table134567810111213141516171819202122232425262728[[#This Row],[الدولار]]+(Table134567810111213141516171819202122232425262728[[#This Row],[اللبناني]]/90)</f>
        <v>0</v>
      </c>
      <c r="M133" s="6"/>
    </row>
    <row r="134" spans="8:13" s="8" customFormat="1" x14ac:dyDescent="0.3">
      <c r="H134" s="5" t="s">
        <v>144</v>
      </c>
      <c r="I134" s="21"/>
      <c r="J134" s="13"/>
      <c r="L134" s="26">
        <f>Table134567810111213141516171819202122232425262728[[#This Row],[الدولار]]+(Table134567810111213141516171819202122232425262728[[#This Row],[اللبناني]]/90)</f>
        <v>0</v>
      </c>
      <c r="M134" s="6"/>
    </row>
    <row r="135" spans="8:13" s="8" customFormat="1" x14ac:dyDescent="0.3">
      <c r="H135" s="5" t="s">
        <v>144</v>
      </c>
      <c r="I135" s="21"/>
      <c r="J135" s="13"/>
      <c r="L135" s="26">
        <f>Table134567810111213141516171819202122232425262728[[#This Row],[الدولار]]+(Table134567810111213141516171819202122232425262728[[#This Row],[اللبناني]]/90)</f>
        <v>0</v>
      </c>
      <c r="M135" s="6"/>
    </row>
    <row r="136" spans="8:13" s="8" customFormat="1" x14ac:dyDescent="0.3">
      <c r="H136" s="5" t="s">
        <v>144</v>
      </c>
      <c r="I136" s="21"/>
      <c r="J136" s="13"/>
      <c r="L136" s="26">
        <f>Table134567810111213141516171819202122232425262728[[#This Row],[الدولار]]+(Table134567810111213141516171819202122232425262728[[#This Row],[اللبناني]]/90)</f>
        <v>0</v>
      </c>
      <c r="M136" s="6"/>
    </row>
    <row r="137" spans="8:13" s="8" customFormat="1" x14ac:dyDescent="0.3">
      <c r="H137" s="5" t="s">
        <v>144</v>
      </c>
      <c r="I137" s="21"/>
      <c r="J137" s="13"/>
      <c r="L137" s="26">
        <f>Table134567810111213141516171819202122232425262728[[#This Row],[الدولار]]+(Table134567810111213141516171819202122232425262728[[#This Row],[اللبناني]]/90)</f>
        <v>0</v>
      </c>
      <c r="M137" s="6"/>
    </row>
    <row r="138" spans="8:13" s="8" customFormat="1" x14ac:dyDescent="0.3">
      <c r="H138" s="5" t="s">
        <v>144</v>
      </c>
      <c r="I138" s="21"/>
      <c r="J138" s="13"/>
      <c r="L138" s="26">
        <f>Table134567810111213141516171819202122232425262728[[#This Row],[الدولار]]+(Table134567810111213141516171819202122232425262728[[#This Row],[اللبناني]]/90)</f>
        <v>0</v>
      </c>
      <c r="M138" s="6"/>
    </row>
    <row r="139" spans="8:13" s="8" customFormat="1" x14ac:dyDescent="0.3">
      <c r="H139" s="5" t="s">
        <v>144</v>
      </c>
      <c r="I139" s="21"/>
      <c r="J139" s="13"/>
      <c r="L139" s="26">
        <f>Table134567810111213141516171819202122232425262728[[#This Row],[الدولار]]+(Table134567810111213141516171819202122232425262728[[#This Row],[اللبناني]]/90)</f>
        <v>0</v>
      </c>
      <c r="M139" s="6"/>
    </row>
    <row r="140" spans="8:13" s="8" customFormat="1" x14ac:dyDescent="0.3">
      <c r="H140" s="5" t="s">
        <v>144</v>
      </c>
      <c r="I140" s="21"/>
      <c r="J140" s="13"/>
      <c r="L140" s="26">
        <f>Table134567810111213141516171819202122232425262728[[#This Row],[الدولار]]+(Table134567810111213141516171819202122232425262728[[#This Row],[اللبناني]]/90)</f>
        <v>0</v>
      </c>
      <c r="M140" s="6"/>
    </row>
    <row r="141" spans="8:13" s="8" customFormat="1" x14ac:dyDescent="0.3">
      <c r="H141" s="5" t="s">
        <v>144</v>
      </c>
      <c r="I141" s="21"/>
      <c r="J141" s="13"/>
      <c r="L141" s="26">
        <f>Table134567810111213141516171819202122232425262728[[#This Row],[الدولار]]+(Table134567810111213141516171819202122232425262728[[#This Row],[اللبناني]]/90)</f>
        <v>0</v>
      </c>
      <c r="M141" s="6"/>
    </row>
    <row r="142" spans="8:13" s="8" customFormat="1" x14ac:dyDescent="0.3">
      <c r="H142" s="5" t="s">
        <v>144</v>
      </c>
      <c r="I142" s="21"/>
      <c r="J142" s="13"/>
      <c r="L142" s="26">
        <f>Table134567810111213141516171819202122232425262728[[#This Row],[الدولار]]+(Table134567810111213141516171819202122232425262728[[#This Row],[اللبناني]]/90)</f>
        <v>0</v>
      </c>
      <c r="M142" s="6"/>
    </row>
    <row r="143" spans="8:13" s="8" customFormat="1" x14ac:dyDescent="0.3">
      <c r="H143" s="5" t="s">
        <v>144</v>
      </c>
      <c r="I143" s="21"/>
      <c r="J143" s="13"/>
      <c r="L143" s="26">
        <f>Table134567810111213141516171819202122232425262728[[#This Row],[الدولار]]+(Table134567810111213141516171819202122232425262728[[#This Row],[اللبناني]]/90)</f>
        <v>0</v>
      </c>
      <c r="M143" s="6"/>
    </row>
    <row r="144" spans="8:13" s="8" customFormat="1" x14ac:dyDescent="0.3">
      <c r="H144" s="5" t="s">
        <v>144</v>
      </c>
      <c r="I144" s="21"/>
      <c r="J144" s="13"/>
      <c r="L144" s="26">
        <f>Table134567810111213141516171819202122232425262728[[#This Row],[الدولار]]+(Table134567810111213141516171819202122232425262728[[#This Row],[اللبناني]]/90)</f>
        <v>0</v>
      </c>
      <c r="M144" s="6"/>
    </row>
    <row r="145" spans="8:13" s="8" customFormat="1" x14ac:dyDescent="0.3">
      <c r="H145" s="5" t="s">
        <v>144</v>
      </c>
      <c r="I145" s="21"/>
      <c r="J145" s="13"/>
      <c r="L145" s="26">
        <f>Table134567810111213141516171819202122232425262728[[#This Row],[الدولار]]+(Table134567810111213141516171819202122232425262728[[#This Row],[اللبناني]]/90)</f>
        <v>0</v>
      </c>
      <c r="M145" s="6"/>
    </row>
    <row r="146" spans="8:13" s="8" customFormat="1" x14ac:dyDescent="0.3">
      <c r="H146" s="5" t="s">
        <v>144</v>
      </c>
      <c r="I146" s="21"/>
      <c r="J146" s="13"/>
      <c r="L146" s="26">
        <f>Table134567810111213141516171819202122232425262728[[#This Row],[الدولار]]+(Table134567810111213141516171819202122232425262728[[#This Row],[اللبناني]]/90)</f>
        <v>0</v>
      </c>
      <c r="M146" s="6"/>
    </row>
    <row r="147" spans="8:13" s="8" customFormat="1" x14ac:dyDescent="0.3">
      <c r="H147" s="5" t="s">
        <v>144</v>
      </c>
      <c r="I147" s="21"/>
      <c r="J147" s="13"/>
      <c r="L147" s="26">
        <f>Table134567810111213141516171819202122232425262728[[#This Row],[الدولار]]+(Table134567810111213141516171819202122232425262728[[#This Row],[اللبناني]]/90)</f>
        <v>0</v>
      </c>
      <c r="M147" s="6"/>
    </row>
    <row r="148" spans="8:13" s="8" customFormat="1" x14ac:dyDescent="0.3">
      <c r="H148" s="5" t="s">
        <v>144</v>
      </c>
      <c r="I148" s="21"/>
      <c r="J148" s="13"/>
      <c r="L148" s="26">
        <f>Table134567810111213141516171819202122232425262728[[#This Row],[الدولار]]+(Table134567810111213141516171819202122232425262728[[#This Row],[اللبناني]]/90)</f>
        <v>0</v>
      </c>
      <c r="M148" s="6"/>
    </row>
    <row r="149" spans="8:13" s="8" customFormat="1" x14ac:dyDescent="0.3">
      <c r="H149" s="5" t="s">
        <v>144</v>
      </c>
      <c r="I149" s="21"/>
      <c r="J149" s="13"/>
      <c r="L149" s="26">
        <f>Table134567810111213141516171819202122232425262728[[#This Row],[الدولار]]+(Table134567810111213141516171819202122232425262728[[#This Row],[اللبناني]]/90)</f>
        <v>0</v>
      </c>
      <c r="M149" s="6"/>
    </row>
    <row r="150" spans="8:13" s="8" customFormat="1" x14ac:dyDescent="0.3">
      <c r="H150" s="5" t="s">
        <v>144</v>
      </c>
      <c r="I150" s="21"/>
      <c r="J150" s="13"/>
      <c r="L150" s="26">
        <f>Table134567810111213141516171819202122232425262728[[#This Row],[الدولار]]+(Table134567810111213141516171819202122232425262728[[#This Row],[اللبناني]]/90)</f>
        <v>0</v>
      </c>
      <c r="M150" s="6"/>
    </row>
    <row r="151" spans="8:13" s="8" customFormat="1" x14ac:dyDescent="0.3">
      <c r="H151" s="5" t="s">
        <v>144</v>
      </c>
      <c r="I151" s="21"/>
      <c r="J151" s="13"/>
      <c r="L151" s="26">
        <f>Table134567810111213141516171819202122232425262728[[#This Row],[الدولار]]+(Table134567810111213141516171819202122232425262728[[#This Row],[اللبناني]]/90)</f>
        <v>0</v>
      </c>
      <c r="M151" s="6"/>
    </row>
    <row r="152" spans="8:13" s="8" customFormat="1" x14ac:dyDescent="0.3">
      <c r="H152" s="5" t="s">
        <v>144</v>
      </c>
      <c r="I152" s="21"/>
      <c r="J152" s="13"/>
      <c r="L152" s="26">
        <f>Table134567810111213141516171819202122232425262728[[#This Row],[الدولار]]+(Table134567810111213141516171819202122232425262728[[#This Row],[اللبناني]]/90)</f>
        <v>0</v>
      </c>
      <c r="M152" s="6"/>
    </row>
    <row r="153" spans="8:13" s="8" customFormat="1" x14ac:dyDescent="0.3">
      <c r="H153" s="5" t="s">
        <v>144</v>
      </c>
      <c r="I153" s="21"/>
      <c r="J153" s="13"/>
      <c r="L153" s="26">
        <f>Table134567810111213141516171819202122232425262728[[#This Row],[الدولار]]+(Table134567810111213141516171819202122232425262728[[#This Row],[اللبناني]]/90)</f>
        <v>0</v>
      </c>
      <c r="M153" s="6"/>
    </row>
    <row r="154" spans="8:13" s="8" customFormat="1" x14ac:dyDescent="0.3">
      <c r="H154" s="5" t="s">
        <v>144</v>
      </c>
      <c r="I154" s="21"/>
      <c r="J154" s="13"/>
      <c r="L154" s="26">
        <f>Table134567810111213141516171819202122232425262728[[#This Row],[الدولار]]+(Table134567810111213141516171819202122232425262728[[#This Row],[اللبناني]]/90)</f>
        <v>0</v>
      </c>
      <c r="M154" s="6"/>
    </row>
    <row r="155" spans="8:13" s="8" customFormat="1" x14ac:dyDescent="0.3">
      <c r="H155" s="5" t="s">
        <v>144</v>
      </c>
      <c r="I155" s="21"/>
      <c r="J155" s="13"/>
      <c r="L155" s="26">
        <f>Table134567810111213141516171819202122232425262728[[#This Row],[الدولار]]+(Table134567810111213141516171819202122232425262728[[#This Row],[اللبناني]]/90)</f>
        <v>0</v>
      </c>
      <c r="M155" s="6"/>
    </row>
    <row r="156" spans="8:13" s="8" customFormat="1" x14ac:dyDescent="0.3">
      <c r="H156" s="5" t="s">
        <v>144</v>
      </c>
      <c r="I156" s="21"/>
      <c r="J156" s="13"/>
      <c r="L156" s="26">
        <f>Table134567810111213141516171819202122232425262728[[#This Row],[الدولار]]+(Table134567810111213141516171819202122232425262728[[#This Row],[اللبناني]]/90)</f>
        <v>0</v>
      </c>
      <c r="M156" s="6"/>
    </row>
    <row r="157" spans="8:13" s="8" customFormat="1" x14ac:dyDescent="0.3">
      <c r="H157" s="5" t="s">
        <v>144</v>
      </c>
      <c r="I157" s="21"/>
      <c r="J157" s="13"/>
      <c r="L157" s="26">
        <f>Table134567810111213141516171819202122232425262728[[#This Row],[الدولار]]+(Table134567810111213141516171819202122232425262728[[#This Row],[اللبناني]]/90)</f>
        <v>0</v>
      </c>
      <c r="M157" s="6"/>
    </row>
    <row r="158" spans="8:13" s="8" customFormat="1" x14ac:dyDescent="0.3">
      <c r="H158" s="5" t="s">
        <v>144</v>
      </c>
      <c r="I158" s="21"/>
      <c r="J158" s="13"/>
      <c r="L158" s="26">
        <f>Table134567810111213141516171819202122232425262728[[#This Row],[الدولار]]+(Table134567810111213141516171819202122232425262728[[#This Row],[اللبناني]]/90)</f>
        <v>0</v>
      </c>
      <c r="M158" s="6"/>
    </row>
    <row r="159" spans="8:13" s="8" customFormat="1" x14ac:dyDescent="0.3">
      <c r="H159" s="5" t="s">
        <v>144</v>
      </c>
      <c r="I159" s="21"/>
      <c r="J159" s="13"/>
      <c r="L159" s="26">
        <f>Table134567810111213141516171819202122232425262728[[#This Row],[الدولار]]+(Table134567810111213141516171819202122232425262728[[#This Row],[اللبناني]]/90)</f>
        <v>0</v>
      </c>
      <c r="M159" s="6"/>
    </row>
    <row r="160" spans="8:13" s="8" customFormat="1" x14ac:dyDescent="0.3">
      <c r="H160" s="5" t="s">
        <v>144</v>
      </c>
      <c r="I160" s="21"/>
      <c r="J160" s="13"/>
      <c r="L160" s="26">
        <f>Table134567810111213141516171819202122232425262728[[#This Row],[الدولار]]+(Table134567810111213141516171819202122232425262728[[#This Row],[اللبناني]]/90)</f>
        <v>0</v>
      </c>
      <c r="M160" s="6"/>
    </row>
    <row r="161" spans="8:13" s="8" customFormat="1" x14ac:dyDescent="0.3">
      <c r="H161" s="5" t="s">
        <v>144</v>
      </c>
      <c r="I161" s="21"/>
      <c r="J161" s="13"/>
      <c r="L161" s="26">
        <f>Table134567810111213141516171819202122232425262728[[#This Row],[الدولار]]+(Table134567810111213141516171819202122232425262728[[#This Row],[اللبناني]]/90)</f>
        <v>0</v>
      </c>
      <c r="M161" s="6"/>
    </row>
    <row r="162" spans="8:13" s="8" customFormat="1" x14ac:dyDescent="0.3">
      <c r="H162" s="5" t="s">
        <v>144</v>
      </c>
      <c r="I162" s="21"/>
      <c r="J162" s="13"/>
      <c r="L162" s="26">
        <f>Table134567810111213141516171819202122232425262728[[#This Row],[الدولار]]+(Table134567810111213141516171819202122232425262728[[#This Row],[اللبناني]]/90)</f>
        <v>0</v>
      </c>
      <c r="M162" s="6"/>
    </row>
    <row r="163" spans="8:13" s="8" customFormat="1" x14ac:dyDescent="0.3">
      <c r="H163" s="5" t="s">
        <v>144</v>
      </c>
      <c r="I163" s="21"/>
      <c r="J163" s="13"/>
      <c r="L163" s="26">
        <f>Table134567810111213141516171819202122232425262728[[#This Row],[الدولار]]+(Table134567810111213141516171819202122232425262728[[#This Row],[اللبناني]]/90)</f>
        <v>0</v>
      </c>
      <c r="M163" s="6"/>
    </row>
    <row r="164" spans="8:13" s="8" customFormat="1" x14ac:dyDescent="0.3">
      <c r="H164" s="5" t="s">
        <v>144</v>
      </c>
      <c r="I164" s="21"/>
      <c r="J164" s="13"/>
      <c r="L164" s="26">
        <f>Table134567810111213141516171819202122232425262728[[#This Row],[الدولار]]+(Table134567810111213141516171819202122232425262728[[#This Row],[اللبناني]]/90)</f>
        <v>0</v>
      </c>
      <c r="M164" s="6"/>
    </row>
    <row r="165" spans="8:13" s="8" customFormat="1" x14ac:dyDescent="0.3">
      <c r="H165" s="5" t="s">
        <v>144</v>
      </c>
      <c r="I165" s="21"/>
      <c r="J165" s="13"/>
      <c r="L165" s="26">
        <f>Table134567810111213141516171819202122232425262728[[#This Row],[الدولار]]+(Table134567810111213141516171819202122232425262728[[#This Row],[اللبناني]]/90)</f>
        <v>0</v>
      </c>
      <c r="M165" s="6"/>
    </row>
    <row r="166" spans="8:13" s="8" customFormat="1" x14ac:dyDescent="0.3">
      <c r="H166" s="5" t="s">
        <v>144</v>
      </c>
      <c r="I166" s="21"/>
      <c r="J166" s="13"/>
      <c r="L166" s="26">
        <f>Table134567810111213141516171819202122232425262728[[#This Row],[الدولار]]+(Table134567810111213141516171819202122232425262728[[#This Row],[اللبناني]]/90)</f>
        <v>0</v>
      </c>
      <c r="M166" s="6"/>
    </row>
    <row r="167" spans="8:13" s="8" customFormat="1" x14ac:dyDescent="0.3">
      <c r="H167" s="5" t="s">
        <v>144</v>
      </c>
      <c r="I167" s="21"/>
      <c r="J167" s="13"/>
      <c r="L167" s="26">
        <f>Table134567810111213141516171819202122232425262728[[#This Row],[الدولار]]+(Table134567810111213141516171819202122232425262728[[#This Row],[اللبناني]]/90)</f>
        <v>0</v>
      </c>
      <c r="M167" s="6"/>
    </row>
    <row r="168" spans="8:13" s="8" customFormat="1" x14ac:dyDescent="0.3">
      <c r="H168" s="5" t="s">
        <v>144</v>
      </c>
      <c r="I168" s="21"/>
      <c r="J168" s="13"/>
      <c r="L168" s="26">
        <f>Table134567810111213141516171819202122232425262728[[#This Row],[الدولار]]+(Table134567810111213141516171819202122232425262728[[#This Row],[اللبناني]]/90)</f>
        <v>0</v>
      </c>
      <c r="M168" s="6"/>
    </row>
    <row r="169" spans="8:13" s="8" customFormat="1" x14ac:dyDescent="0.3">
      <c r="H169" s="5" t="s">
        <v>144</v>
      </c>
      <c r="I169" s="21"/>
      <c r="J169" s="13"/>
      <c r="L169" s="26">
        <f>Table134567810111213141516171819202122232425262728[[#This Row],[الدولار]]+(Table134567810111213141516171819202122232425262728[[#This Row],[اللبناني]]/90)</f>
        <v>0</v>
      </c>
      <c r="M169" s="6"/>
    </row>
    <row r="170" spans="8:13" s="8" customFormat="1" x14ac:dyDescent="0.3">
      <c r="H170" s="5" t="s">
        <v>144</v>
      </c>
      <c r="I170" s="21"/>
      <c r="J170" s="13"/>
      <c r="L170" s="26">
        <f>Table134567810111213141516171819202122232425262728[[#This Row],[الدولار]]+(Table134567810111213141516171819202122232425262728[[#This Row],[اللبناني]]/90)</f>
        <v>0</v>
      </c>
      <c r="M170" s="6"/>
    </row>
    <row r="171" spans="8:13" s="8" customFormat="1" x14ac:dyDescent="0.3">
      <c r="H171" s="5" t="s">
        <v>144</v>
      </c>
      <c r="I171" s="21"/>
      <c r="J171" s="13"/>
      <c r="L171" s="26">
        <f>Table134567810111213141516171819202122232425262728[[#This Row],[الدولار]]+(Table134567810111213141516171819202122232425262728[[#This Row],[اللبناني]]/90)</f>
        <v>0</v>
      </c>
      <c r="M171" s="6"/>
    </row>
    <row r="172" spans="8:13" s="8" customFormat="1" x14ac:dyDescent="0.3">
      <c r="H172" s="5" t="s">
        <v>144</v>
      </c>
      <c r="I172" s="21"/>
      <c r="J172" s="13"/>
      <c r="L172" s="26">
        <f>Table134567810111213141516171819202122232425262728[[#This Row],[الدولار]]+(Table134567810111213141516171819202122232425262728[[#This Row],[اللبناني]]/90)</f>
        <v>0</v>
      </c>
      <c r="M172" s="6"/>
    </row>
    <row r="173" spans="8:13" s="8" customFormat="1" x14ac:dyDescent="0.3">
      <c r="H173" s="5" t="s">
        <v>144</v>
      </c>
      <c r="I173" s="21"/>
      <c r="J173" s="13"/>
      <c r="L173" s="26">
        <f>Table134567810111213141516171819202122232425262728[[#This Row],[الدولار]]+(Table134567810111213141516171819202122232425262728[[#This Row],[اللبناني]]/90)</f>
        <v>0</v>
      </c>
      <c r="M173" s="6"/>
    </row>
    <row r="174" spans="8:13" s="8" customFormat="1" x14ac:dyDescent="0.3">
      <c r="H174" s="5" t="s">
        <v>144</v>
      </c>
      <c r="I174" s="21"/>
      <c r="J174" s="13"/>
      <c r="L174" s="26">
        <f>Table134567810111213141516171819202122232425262728[[#This Row],[الدولار]]+(Table134567810111213141516171819202122232425262728[[#This Row],[اللبناني]]/90)</f>
        <v>0</v>
      </c>
      <c r="M174" s="6"/>
    </row>
    <row r="175" spans="8:13" s="8" customFormat="1" x14ac:dyDescent="0.3">
      <c r="H175" s="5" t="s">
        <v>144</v>
      </c>
      <c r="I175" s="21"/>
      <c r="J175" s="13"/>
      <c r="L175" s="26">
        <f>Table134567810111213141516171819202122232425262728[[#This Row],[الدولار]]+(Table134567810111213141516171819202122232425262728[[#This Row],[اللبناني]]/90)</f>
        <v>0</v>
      </c>
      <c r="M175" s="6"/>
    </row>
    <row r="176" spans="8:13" s="8" customFormat="1" x14ac:dyDescent="0.3">
      <c r="H176" s="5" t="s">
        <v>144</v>
      </c>
      <c r="I176" s="21"/>
      <c r="J176" s="13"/>
      <c r="L176" s="26">
        <f>Table134567810111213141516171819202122232425262728[[#This Row],[الدولار]]+(Table134567810111213141516171819202122232425262728[[#This Row],[اللبناني]]/90)</f>
        <v>0</v>
      </c>
      <c r="M176" s="6"/>
    </row>
    <row r="177" spans="8:13" s="8" customFormat="1" x14ac:dyDescent="0.3">
      <c r="H177" s="5" t="s">
        <v>144</v>
      </c>
      <c r="I177" s="21"/>
      <c r="J177" s="13"/>
      <c r="L177" s="26">
        <f>Table134567810111213141516171819202122232425262728[[#This Row],[الدولار]]+(Table134567810111213141516171819202122232425262728[[#This Row],[اللبناني]]/90)</f>
        <v>0</v>
      </c>
      <c r="M177" s="6"/>
    </row>
    <row r="178" spans="8:13" s="8" customFormat="1" x14ac:dyDescent="0.3">
      <c r="H178" s="5" t="s">
        <v>144</v>
      </c>
      <c r="I178" s="21"/>
      <c r="J178" s="13"/>
      <c r="L178" s="26">
        <f>Table134567810111213141516171819202122232425262728[[#This Row],[الدولار]]+(Table134567810111213141516171819202122232425262728[[#This Row],[اللبناني]]/90)</f>
        <v>0</v>
      </c>
      <c r="M178" s="6"/>
    </row>
    <row r="179" spans="8:13" s="8" customFormat="1" x14ac:dyDescent="0.3">
      <c r="H179" s="5" t="s">
        <v>144</v>
      </c>
      <c r="I179" s="21"/>
      <c r="J179" s="13"/>
      <c r="L179" s="26">
        <f>Table134567810111213141516171819202122232425262728[[#This Row],[الدولار]]+(Table134567810111213141516171819202122232425262728[[#This Row],[اللبناني]]/90)</f>
        <v>0</v>
      </c>
      <c r="M179" s="6"/>
    </row>
    <row r="180" spans="8:13" s="8" customFormat="1" x14ac:dyDescent="0.3">
      <c r="H180" s="5" t="s">
        <v>144</v>
      </c>
      <c r="I180" s="21"/>
      <c r="J180" s="13"/>
      <c r="L180" s="26">
        <f>Table134567810111213141516171819202122232425262728[[#This Row],[الدولار]]+(Table134567810111213141516171819202122232425262728[[#This Row],[اللبناني]]/90)</f>
        <v>0</v>
      </c>
      <c r="M180" s="6"/>
    </row>
    <row r="181" spans="8:13" s="8" customFormat="1" x14ac:dyDescent="0.3">
      <c r="H181" s="5" t="s">
        <v>144</v>
      </c>
      <c r="I181" s="21"/>
      <c r="J181" s="13"/>
      <c r="L181" s="26">
        <f>Table134567810111213141516171819202122232425262728[[#This Row],[الدولار]]+(Table134567810111213141516171819202122232425262728[[#This Row],[اللبناني]]/90)</f>
        <v>0</v>
      </c>
      <c r="M181" s="6"/>
    </row>
    <row r="182" spans="8:13" s="8" customFormat="1" x14ac:dyDescent="0.3">
      <c r="H182" s="5" t="s">
        <v>144</v>
      </c>
      <c r="I182" s="21"/>
      <c r="J182" s="13"/>
      <c r="L182" s="26">
        <f>Table134567810111213141516171819202122232425262728[[#This Row],[الدولار]]+(Table134567810111213141516171819202122232425262728[[#This Row],[اللبناني]]/90)</f>
        <v>0</v>
      </c>
      <c r="M182" s="6"/>
    </row>
    <row r="183" spans="8:13" s="8" customFormat="1" x14ac:dyDescent="0.3">
      <c r="H183" s="5" t="s">
        <v>144</v>
      </c>
      <c r="I183" s="21"/>
      <c r="J183" s="13"/>
      <c r="L183" s="26">
        <f>Table134567810111213141516171819202122232425262728[[#This Row],[الدولار]]+(Table134567810111213141516171819202122232425262728[[#This Row],[اللبناني]]/90)</f>
        <v>0</v>
      </c>
      <c r="M183" s="6"/>
    </row>
    <row r="184" spans="8:13" s="8" customFormat="1" x14ac:dyDescent="0.3">
      <c r="H184" s="5" t="s">
        <v>144</v>
      </c>
      <c r="I184" s="21"/>
      <c r="J184" s="13"/>
      <c r="L184" s="26">
        <f>Table134567810111213141516171819202122232425262728[[#This Row],[الدولار]]+(Table134567810111213141516171819202122232425262728[[#This Row],[اللبناني]]/90)</f>
        <v>0</v>
      </c>
      <c r="M184" s="6"/>
    </row>
    <row r="185" spans="8:13" s="8" customFormat="1" x14ac:dyDescent="0.3">
      <c r="H185" s="5" t="s">
        <v>144</v>
      </c>
      <c r="I185" s="21"/>
      <c r="J185" s="13"/>
      <c r="L185" s="26">
        <f>Table134567810111213141516171819202122232425262728[[#This Row],[الدولار]]+(Table134567810111213141516171819202122232425262728[[#This Row],[اللبناني]]/90)</f>
        <v>0</v>
      </c>
      <c r="M185" s="6"/>
    </row>
    <row r="186" spans="8:13" s="8" customFormat="1" x14ac:dyDescent="0.3">
      <c r="H186" s="5" t="s">
        <v>144</v>
      </c>
      <c r="I186" s="21"/>
      <c r="J186" s="13"/>
      <c r="L186" s="26">
        <f>Table134567810111213141516171819202122232425262728[[#This Row],[الدولار]]+(Table134567810111213141516171819202122232425262728[[#This Row],[اللبناني]]/90)</f>
        <v>0</v>
      </c>
      <c r="M186" s="6"/>
    </row>
    <row r="187" spans="8:13" s="8" customFormat="1" x14ac:dyDescent="0.3">
      <c r="H187" s="5" t="s">
        <v>144</v>
      </c>
      <c r="I187" s="21"/>
      <c r="J187" s="13"/>
      <c r="L187" s="26">
        <f>Table134567810111213141516171819202122232425262728[[#This Row],[الدولار]]+(Table134567810111213141516171819202122232425262728[[#This Row],[اللبناني]]/90)</f>
        <v>0</v>
      </c>
      <c r="M187" s="6"/>
    </row>
    <row r="188" spans="8:13" s="8" customFormat="1" x14ac:dyDescent="0.3">
      <c r="H188" s="5" t="s">
        <v>144</v>
      </c>
      <c r="I188" s="21"/>
      <c r="J188" s="13"/>
      <c r="L188" s="26">
        <f>Table134567810111213141516171819202122232425262728[[#This Row],[الدولار]]+(Table134567810111213141516171819202122232425262728[[#This Row],[اللبناني]]/90)</f>
        <v>0</v>
      </c>
      <c r="M188" s="6"/>
    </row>
    <row r="189" spans="8:13" s="8" customFormat="1" x14ac:dyDescent="0.3">
      <c r="H189" s="5" t="s">
        <v>144</v>
      </c>
      <c r="I189" s="21"/>
      <c r="J189" s="13"/>
      <c r="L189" s="26">
        <f>Table134567810111213141516171819202122232425262728[[#This Row],[الدولار]]+(Table134567810111213141516171819202122232425262728[[#This Row],[اللبناني]]/90)</f>
        <v>0</v>
      </c>
      <c r="M189" s="6"/>
    </row>
    <row r="190" spans="8:13" s="8" customFormat="1" x14ac:dyDescent="0.3">
      <c r="H190" s="5" t="s">
        <v>144</v>
      </c>
      <c r="I190" s="21"/>
      <c r="J190" s="13"/>
      <c r="L190" s="26">
        <f>Table134567810111213141516171819202122232425262728[[#This Row],[الدولار]]+(Table134567810111213141516171819202122232425262728[[#This Row],[اللبناني]]/90)</f>
        <v>0</v>
      </c>
      <c r="M190" s="6"/>
    </row>
    <row r="191" spans="8:13" s="8" customFormat="1" x14ac:dyDescent="0.3">
      <c r="H191" s="5" t="s">
        <v>144</v>
      </c>
      <c r="I191" s="21"/>
      <c r="J191" s="13"/>
      <c r="L191" s="26">
        <f>Table134567810111213141516171819202122232425262728[[#This Row],[الدولار]]+(Table134567810111213141516171819202122232425262728[[#This Row],[اللبناني]]/90)</f>
        <v>0</v>
      </c>
      <c r="M191" s="6"/>
    </row>
    <row r="192" spans="8:13" s="8" customFormat="1" x14ac:dyDescent="0.3">
      <c r="H192" s="5" t="s">
        <v>144</v>
      </c>
      <c r="I192" s="21"/>
      <c r="J192" s="13"/>
      <c r="L192" s="26">
        <f>Table134567810111213141516171819202122232425262728[[#This Row],[الدولار]]+(Table134567810111213141516171819202122232425262728[[#This Row],[اللبناني]]/90)</f>
        <v>0</v>
      </c>
      <c r="M192" s="6"/>
    </row>
    <row r="193" spans="8:13" s="8" customFormat="1" x14ac:dyDescent="0.3">
      <c r="H193" s="5" t="s">
        <v>144</v>
      </c>
      <c r="I193" s="21"/>
      <c r="J193" s="13"/>
      <c r="L193" s="26">
        <f>Table134567810111213141516171819202122232425262728[[#This Row],[الدولار]]+(Table134567810111213141516171819202122232425262728[[#This Row],[اللبناني]]/90)</f>
        <v>0</v>
      </c>
      <c r="M193" s="6"/>
    </row>
    <row r="194" spans="8:13" s="8" customFormat="1" x14ac:dyDescent="0.3">
      <c r="H194" s="5" t="s">
        <v>144</v>
      </c>
      <c r="I194" s="21"/>
      <c r="J194" s="13"/>
      <c r="L194" s="26">
        <f>Table134567810111213141516171819202122232425262728[[#This Row],[الدولار]]+(Table134567810111213141516171819202122232425262728[[#This Row],[اللبناني]]/90)</f>
        <v>0</v>
      </c>
      <c r="M194" s="6"/>
    </row>
    <row r="195" spans="8:13" s="8" customFormat="1" x14ac:dyDescent="0.3">
      <c r="H195" s="5" t="s">
        <v>144</v>
      </c>
      <c r="I195" s="21"/>
      <c r="J195" s="13"/>
      <c r="L195" s="26">
        <f>Table134567810111213141516171819202122232425262728[[#This Row],[الدولار]]+(Table134567810111213141516171819202122232425262728[[#This Row],[اللبناني]]/90)</f>
        <v>0</v>
      </c>
      <c r="M195" s="6"/>
    </row>
    <row r="196" spans="8:13" s="8" customFormat="1" x14ac:dyDescent="0.3">
      <c r="H196" s="5" t="s">
        <v>144</v>
      </c>
      <c r="I196" s="21"/>
      <c r="J196" s="13"/>
      <c r="L196" s="26">
        <f>Table134567810111213141516171819202122232425262728[[#This Row],[الدولار]]+(Table134567810111213141516171819202122232425262728[[#This Row],[اللبناني]]/90)</f>
        <v>0</v>
      </c>
      <c r="M196" s="6"/>
    </row>
    <row r="197" spans="8:13" s="8" customFormat="1" x14ac:dyDescent="0.3">
      <c r="H197" s="5" t="s">
        <v>144</v>
      </c>
      <c r="I197" s="21"/>
      <c r="J197" s="13"/>
      <c r="L197" s="26">
        <f>Table134567810111213141516171819202122232425262728[[#This Row],[الدولار]]+(Table134567810111213141516171819202122232425262728[[#This Row],[اللبناني]]/90)</f>
        <v>0</v>
      </c>
      <c r="M197" s="6"/>
    </row>
    <row r="198" spans="8:13" s="8" customFormat="1" x14ac:dyDescent="0.3">
      <c r="H198" s="5" t="s">
        <v>144</v>
      </c>
      <c r="I198" s="21"/>
      <c r="J198" s="13"/>
      <c r="L198" s="26">
        <f>Table134567810111213141516171819202122232425262728[[#This Row],[الدولار]]+(Table134567810111213141516171819202122232425262728[[#This Row],[اللبناني]]/90)</f>
        <v>0</v>
      </c>
      <c r="M198" s="6"/>
    </row>
    <row r="199" spans="8:13" s="8" customFormat="1" x14ac:dyDescent="0.3">
      <c r="H199" s="5" t="s">
        <v>144</v>
      </c>
      <c r="I199" s="21"/>
      <c r="J199" s="13"/>
      <c r="L199" s="26">
        <f>Table134567810111213141516171819202122232425262728[[#This Row],[الدولار]]+(Table134567810111213141516171819202122232425262728[[#This Row],[اللبناني]]/90)</f>
        <v>0</v>
      </c>
      <c r="M199" s="6"/>
    </row>
    <row r="200" spans="8:13" s="8" customFormat="1" x14ac:dyDescent="0.3">
      <c r="H200" s="5" t="s">
        <v>144</v>
      </c>
      <c r="I200" s="21"/>
      <c r="J200" s="13"/>
      <c r="L200" s="26">
        <f>Table134567810111213141516171819202122232425262728[[#This Row],[الدولار]]+(Table134567810111213141516171819202122232425262728[[#This Row],[اللبناني]]/90)</f>
        <v>0</v>
      </c>
      <c r="M200" s="6"/>
    </row>
    <row r="201" spans="8:13" s="8" customFormat="1" x14ac:dyDescent="0.3">
      <c r="H201" s="5" t="s">
        <v>144</v>
      </c>
      <c r="I201" s="21"/>
      <c r="J201" s="13"/>
      <c r="L201" s="26">
        <f>Table134567810111213141516171819202122232425262728[[#This Row],[الدولار]]+(Table134567810111213141516171819202122232425262728[[#This Row],[اللبناني]]/90)</f>
        <v>0</v>
      </c>
      <c r="M201" s="6"/>
    </row>
    <row r="202" spans="8:13" s="8" customFormat="1" x14ac:dyDescent="0.3">
      <c r="H202" s="5" t="s">
        <v>144</v>
      </c>
      <c r="I202" s="21"/>
      <c r="J202" s="13"/>
      <c r="L202" s="26">
        <f>Table134567810111213141516171819202122232425262728[[#This Row],[الدولار]]+(Table134567810111213141516171819202122232425262728[[#This Row],[اللبناني]]/90)</f>
        <v>0</v>
      </c>
      <c r="M202" s="6"/>
    </row>
    <row r="203" spans="8:13" s="8" customFormat="1" x14ac:dyDescent="0.3">
      <c r="H203" s="5" t="s">
        <v>144</v>
      </c>
      <c r="I203" s="21"/>
      <c r="J203" s="13"/>
      <c r="L203" s="26">
        <f>Table134567810111213141516171819202122232425262728[[#This Row],[الدولار]]+(Table134567810111213141516171819202122232425262728[[#This Row],[اللبناني]]/90)</f>
        <v>0</v>
      </c>
      <c r="M203" s="6"/>
    </row>
    <row r="204" spans="8:13" s="8" customFormat="1" x14ac:dyDescent="0.3">
      <c r="H204" s="5" t="s">
        <v>144</v>
      </c>
      <c r="I204" s="21"/>
      <c r="J204" s="13"/>
      <c r="L204" s="26">
        <f>Table134567810111213141516171819202122232425262728[[#This Row],[الدولار]]+(Table134567810111213141516171819202122232425262728[[#This Row],[اللبناني]]/90)</f>
        <v>0</v>
      </c>
      <c r="M204" s="6"/>
    </row>
    <row r="205" spans="8:13" s="8" customFormat="1" x14ac:dyDescent="0.3">
      <c r="H205" s="5" t="s">
        <v>144</v>
      </c>
      <c r="I205" s="21"/>
      <c r="J205" s="13"/>
      <c r="L205" s="26">
        <f>Table134567810111213141516171819202122232425262728[[#This Row],[الدولار]]+(Table134567810111213141516171819202122232425262728[[#This Row],[اللبناني]]/90)</f>
        <v>0</v>
      </c>
      <c r="M205" s="6"/>
    </row>
    <row r="206" spans="8:13" s="8" customFormat="1" x14ac:dyDescent="0.3">
      <c r="H206" s="5" t="s">
        <v>144</v>
      </c>
      <c r="I206" s="21"/>
      <c r="J206" s="13"/>
      <c r="L206" s="26">
        <f>Table134567810111213141516171819202122232425262728[[#This Row],[الدولار]]+(Table134567810111213141516171819202122232425262728[[#This Row],[اللبناني]]/90)</f>
        <v>0</v>
      </c>
      <c r="M206" s="6"/>
    </row>
    <row r="207" spans="8:13" s="8" customFormat="1" x14ac:dyDescent="0.3">
      <c r="H207" s="5" t="s">
        <v>144</v>
      </c>
      <c r="I207" s="21"/>
      <c r="J207" s="13"/>
      <c r="L207" s="26">
        <f>Table134567810111213141516171819202122232425262728[[#This Row],[الدولار]]+(Table134567810111213141516171819202122232425262728[[#This Row],[اللبناني]]/90)</f>
        <v>0</v>
      </c>
      <c r="M207" s="6"/>
    </row>
    <row r="208" spans="8:13" s="8" customFormat="1" x14ac:dyDescent="0.3">
      <c r="H208" s="5" t="s">
        <v>144</v>
      </c>
      <c r="I208" s="21"/>
      <c r="J208" s="13"/>
      <c r="L208" s="26">
        <f>Table134567810111213141516171819202122232425262728[[#This Row],[الدولار]]+(Table134567810111213141516171819202122232425262728[[#This Row],[اللبناني]]/90)</f>
        <v>0</v>
      </c>
      <c r="M208" s="6"/>
    </row>
    <row r="209" spans="8:13" s="8" customFormat="1" x14ac:dyDescent="0.3">
      <c r="H209" s="5" t="s">
        <v>144</v>
      </c>
      <c r="I209" s="21"/>
      <c r="J209" s="13"/>
      <c r="L209" s="26">
        <f>Table134567810111213141516171819202122232425262728[[#This Row],[الدولار]]+(Table134567810111213141516171819202122232425262728[[#This Row],[اللبناني]]/90)</f>
        <v>0</v>
      </c>
      <c r="M209" s="6"/>
    </row>
    <row r="210" spans="8:13" s="8" customFormat="1" x14ac:dyDescent="0.3">
      <c r="H210" s="5" t="s">
        <v>144</v>
      </c>
      <c r="I210" s="21"/>
      <c r="J210" s="13"/>
      <c r="L210" s="26">
        <f>Table134567810111213141516171819202122232425262728[[#This Row],[الدولار]]+(Table134567810111213141516171819202122232425262728[[#This Row],[اللبناني]]/90)</f>
        <v>0</v>
      </c>
      <c r="M210" s="6"/>
    </row>
    <row r="211" spans="8:13" s="8" customFormat="1" x14ac:dyDescent="0.3">
      <c r="H211" s="5" t="s">
        <v>144</v>
      </c>
      <c r="I211" s="21"/>
      <c r="J211" s="13"/>
      <c r="L211" s="26">
        <f>Table134567810111213141516171819202122232425262728[[#This Row],[الدولار]]+(Table134567810111213141516171819202122232425262728[[#This Row],[اللبناني]]/90)</f>
        <v>0</v>
      </c>
      <c r="M211" s="6"/>
    </row>
    <row r="212" spans="8:13" s="8" customFormat="1" x14ac:dyDescent="0.3">
      <c r="H212" s="5" t="s">
        <v>144</v>
      </c>
      <c r="I212" s="21"/>
      <c r="J212" s="13"/>
      <c r="L212" s="26">
        <f>Table134567810111213141516171819202122232425262728[[#This Row],[الدولار]]+(Table134567810111213141516171819202122232425262728[[#This Row],[اللبناني]]/90)</f>
        <v>0</v>
      </c>
      <c r="M212" s="6"/>
    </row>
    <row r="213" spans="8:13" s="8" customFormat="1" x14ac:dyDescent="0.3">
      <c r="H213" s="5" t="s">
        <v>144</v>
      </c>
      <c r="I213" s="21"/>
      <c r="J213" s="13"/>
      <c r="L213" s="26">
        <f>Table134567810111213141516171819202122232425262728[[#This Row],[الدولار]]+(Table134567810111213141516171819202122232425262728[[#This Row],[اللبناني]]/90)</f>
        <v>0</v>
      </c>
      <c r="M213" s="6"/>
    </row>
    <row r="214" spans="8:13" s="8" customFormat="1" x14ac:dyDescent="0.3">
      <c r="H214" s="5" t="s">
        <v>144</v>
      </c>
      <c r="I214" s="21"/>
      <c r="J214" s="13"/>
      <c r="L214" s="26">
        <f>Table134567810111213141516171819202122232425262728[[#This Row],[الدولار]]+(Table134567810111213141516171819202122232425262728[[#This Row],[اللبناني]]/90)</f>
        <v>0</v>
      </c>
      <c r="M214" s="6"/>
    </row>
    <row r="215" spans="8:13" s="8" customFormat="1" x14ac:dyDescent="0.3">
      <c r="H215" s="5" t="s">
        <v>144</v>
      </c>
      <c r="I215" s="21"/>
      <c r="J215" s="13"/>
      <c r="L215" s="26">
        <f>Table134567810111213141516171819202122232425262728[[#This Row],[الدولار]]+(Table134567810111213141516171819202122232425262728[[#This Row],[اللبناني]]/90)</f>
        <v>0</v>
      </c>
      <c r="M215" s="6"/>
    </row>
    <row r="216" spans="8:13" s="8" customFormat="1" x14ac:dyDescent="0.3">
      <c r="H216" s="5" t="s">
        <v>144</v>
      </c>
      <c r="I216" s="21"/>
      <c r="J216" s="13"/>
      <c r="L216" s="26">
        <f>Table134567810111213141516171819202122232425262728[[#This Row],[الدولار]]+(Table134567810111213141516171819202122232425262728[[#This Row],[اللبناني]]/90)</f>
        <v>0</v>
      </c>
      <c r="M216" s="6"/>
    </row>
    <row r="217" spans="8:13" s="8" customFormat="1" x14ac:dyDescent="0.3">
      <c r="H217" s="5" t="s">
        <v>144</v>
      </c>
      <c r="I217" s="21"/>
      <c r="J217" s="13"/>
      <c r="L217" s="26">
        <f>Table134567810111213141516171819202122232425262728[[#This Row],[الدولار]]+(Table134567810111213141516171819202122232425262728[[#This Row],[اللبناني]]/90)</f>
        <v>0</v>
      </c>
      <c r="M217" s="6"/>
    </row>
    <row r="218" spans="8:13" s="8" customFormat="1" x14ac:dyDescent="0.3">
      <c r="H218" s="5" t="s">
        <v>144</v>
      </c>
      <c r="I218" s="21"/>
      <c r="J218" s="13"/>
      <c r="L218" s="26">
        <f>Table134567810111213141516171819202122232425262728[[#This Row],[الدولار]]+(Table134567810111213141516171819202122232425262728[[#This Row],[اللبناني]]/90)</f>
        <v>0</v>
      </c>
      <c r="M218" s="6"/>
    </row>
    <row r="219" spans="8:13" s="8" customFormat="1" x14ac:dyDescent="0.3">
      <c r="H219" s="5" t="s">
        <v>144</v>
      </c>
      <c r="I219" s="21"/>
      <c r="J219" s="13"/>
      <c r="L219" s="26">
        <f>Table134567810111213141516171819202122232425262728[[#This Row],[الدولار]]+(Table134567810111213141516171819202122232425262728[[#This Row],[اللبناني]]/90)</f>
        <v>0</v>
      </c>
      <c r="M219" s="6"/>
    </row>
    <row r="220" spans="8:13" s="8" customFormat="1" x14ac:dyDescent="0.3">
      <c r="H220" s="5" t="s">
        <v>144</v>
      </c>
      <c r="I220" s="21"/>
      <c r="J220" s="13"/>
      <c r="L220" s="26">
        <f>Table134567810111213141516171819202122232425262728[[#This Row],[الدولار]]+(Table134567810111213141516171819202122232425262728[[#This Row],[اللبناني]]/90)</f>
        <v>0</v>
      </c>
      <c r="M220" s="6"/>
    </row>
    <row r="221" spans="8:13" s="8" customFormat="1" x14ac:dyDescent="0.3">
      <c r="H221" s="5" t="s">
        <v>144</v>
      </c>
      <c r="I221" s="21"/>
      <c r="J221" s="13"/>
      <c r="L221" s="26">
        <f>Table134567810111213141516171819202122232425262728[[#This Row],[الدولار]]+(Table134567810111213141516171819202122232425262728[[#This Row],[اللبناني]]/90)</f>
        <v>0</v>
      </c>
      <c r="M221" s="6"/>
    </row>
    <row r="222" spans="8:13" s="8" customFormat="1" x14ac:dyDescent="0.3">
      <c r="H222" s="5" t="s">
        <v>144</v>
      </c>
      <c r="I222" s="21"/>
      <c r="J222" s="13"/>
      <c r="L222" s="26">
        <f>Table134567810111213141516171819202122232425262728[[#This Row],[الدولار]]+(Table134567810111213141516171819202122232425262728[[#This Row],[اللبناني]]/90)</f>
        <v>0</v>
      </c>
      <c r="M222" s="6"/>
    </row>
    <row r="223" spans="8:13" s="8" customFormat="1" x14ac:dyDescent="0.3">
      <c r="H223" s="5" t="s">
        <v>144</v>
      </c>
      <c r="I223" s="21"/>
      <c r="J223" s="13"/>
      <c r="L223" s="26">
        <f>Table134567810111213141516171819202122232425262728[[#This Row],[الدولار]]+(Table134567810111213141516171819202122232425262728[[#This Row],[اللبناني]]/90)</f>
        <v>0</v>
      </c>
      <c r="M223" s="6"/>
    </row>
    <row r="224" spans="8:13" s="8" customFormat="1" x14ac:dyDescent="0.3">
      <c r="H224" s="5" t="s">
        <v>144</v>
      </c>
      <c r="I224" s="21"/>
      <c r="J224" s="13"/>
      <c r="L224" s="26">
        <f>Table134567810111213141516171819202122232425262728[[#This Row],[الدولار]]+(Table134567810111213141516171819202122232425262728[[#This Row],[اللبناني]]/90)</f>
        <v>0</v>
      </c>
      <c r="M224" s="6"/>
    </row>
    <row r="225" spans="8:13" s="8" customFormat="1" x14ac:dyDescent="0.3">
      <c r="H225" s="5" t="s">
        <v>144</v>
      </c>
      <c r="I225" s="21"/>
      <c r="J225" s="13"/>
      <c r="L225" s="26">
        <f>Table134567810111213141516171819202122232425262728[[#This Row],[الدولار]]+(Table134567810111213141516171819202122232425262728[[#This Row],[اللبناني]]/90)</f>
        <v>0</v>
      </c>
      <c r="M225" s="6"/>
    </row>
    <row r="226" spans="8:13" s="8" customFormat="1" x14ac:dyDescent="0.3">
      <c r="H226" s="5" t="s">
        <v>144</v>
      </c>
      <c r="I226" s="21"/>
      <c r="J226" s="13"/>
      <c r="L226" s="26">
        <f>Table134567810111213141516171819202122232425262728[[#This Row],[الدولار]]+(Table134567810111213141516171819202122232425262728[[#This Row],[اللبناني]]/90)</f>
        <v>0</v>
      </c>
      <c r="M226" s="6"/>
    </row>
    <row r="227" spans="8:13" s="8" customFormat="1" x14ac:dyDescent="0.3">
      <c r="H227" s="5" t="s">
        <v>144</v>
      </c>
      <c r="I227" s="21"/>
      <c r="J227" s="13"/>
      <c r="L227" s="26">
        <f>Table134567810111213141516171819202122232425262728[[#This Row],[الدولار]]+(Table134567810111213141516171819202122232425262728[[#This Row],[اللبناني]]/90)</f>
        <v>0</v>
      </c>
      <c r="M227" s="6"/>
    </row>
    <row r="228" spans="8:13" s="8" customFormat="1" x14ac:dyDescent="0.3">
      <c r="H228" s="5" t="s">
        <v>144</v>
      </c>
      <c r="I228" s="21"/>
      <c r="J228" s="13"/>
      <c r="L228" s="26">
        <f>Table134567810111213141516171819202122232425262728[[#This Row],[الدولار]]+(Table134567810111213141516171819202122232425262728[[#This Row],[اللبناني]]/90)</f>
        <v>0</v>
      </c>
      <c r="M228" s="6"/>
    </row>
    <row r="229" spans="8:13" s="8" customFormat="1" x14ac:dyDescent="0.3">
      <c r="H229" s="5" t="s">
        <v>144</v>
      </c>
      <c r="I229" s="21"/>
      <c r="J229" s="13"/>
      <c r="L229" s="26">
        <f>Table134567810111213141516171819202122232425262728[[#This Row],[الدولار]]+(Table134567810111213141516171819202122232425262728[[#This Row],[اللبناني]]/90)</f>
        <v>0</v>
      </c>
      <c r="M229" s="6"/>
    </row>
    <row r="230" spans="8:13" s="8" customFormat="1" x14ac:dyDescent="0.3">
      <c r="H230" s="5" t="s">
        <v>144</v>
      </c>
      <c r="I230" s="21"/>
      <c r="J230" s="13"/>
      <c r="L230" s="26">
        <f>Table134567810111213141516171819202122232425262728[[#This Row],[الدولار]]+(Table134567810111213141516171819202122232425262728[[#This Row],[اللبناني]]/90)</f>
        <v>0</v>
      </c>
      <c r="M230" s="6"/>
    </row>
    <row r="231" spans="8:13" s="8" customFormat="1" x14ac:dyDescent="0.3">
      <c r="H231" s="5" t="s">
        <v>144</v>
      </c>
      <c r="I231" s="21"/>
      <c r="J231" s="13"/>
      <c r="L231" s="26">
        <f>Table134567810111213141516171819202122232425262728[[#This Row],[الدولار]]+(Table134567810111213141516171819202122232425262728[[#This Row],[اللبناني]]/90)</f>
        <v>0</v>
      </c>
      <c r="M231" s="6"/>
    </row>
    <row r="232" spans="8:13" s="8" customFormat="1" x14ac:dyDescent="0.3">
      <c r="H232" s="5" t="s">
        <v>144</v>
      </c>
      <c r="I232" s="21"/>
      <c r="J232" s="13"/>
      <c r="L232" s="26">
        <f>Table134567810111213141516171819202122232425262728[[#This Row],[الدولار]]+(Table134567810111213141516171819202122232425262728[[#This Row],[اللبناني]]/90)</f>
        <v>0</v>
      </c>
      <c r="M232" s="6"/>
    </row>
    <row r="233" spans="8:13" s="8" customFormat="1" x14ac:dyDescent="0.3">
      <c r="H233" s="5" t="s">
        <v>144</v>
      </c>
      <c r="I233" s="21"/>
      <c r="J233" s="13"/>
      <c r="L233" s="26">
        <f>Table134567810111213141516171819202122232425262728[[#This Row],[الدولار]]+(Table134567810111213141516171819202122232425262728[[#This Row],[اللبناني]]/90)</f>
        <v>0</v>
      </c>
      <c r="M233" s="6"/>
    </row>
    <row r="234" spans="8:13" s="8" customFormat="1" x14ac:dyDescent="0.3">
      <c r="H234" s="5" t="s">
        <v>144</v>
      </c>
      <c r="I234" s="21"/>
      <c r="J234" s="13"/>
      <c r="L234" s="26">
        <f>Table134567810111213141516171819202122232425262728[[#This Row],[الدولار]]+(Table134567810111213141516171819202122232425262728[[#This Row],[اللبناني]]/90)</f>
        <v>0</v>
      </c>
      <c r="M234" s="6"/>
    </row>
    <row r="235" spans="8:13" s="8" customFormat="1" x14ac:dyDescent="0.3">
      <c r="H235" s="5" t="s">
        <v>144</v>
      </c>
      <c r="I235" s="21"/>
      <c r="J235" s="13"/>
      <c r="L235" s="26">
        <f>Table134567810111213141516171819202122232425262728[[#This Row],[الدولار]]+(Table134567810111213141516171819202122232425262728[[#This Row],[اللبناني]]/90)</f>
        <v>0</v>
      </c>
      <c r="M235" s="6"/>
    </row>
    <row r="236" spans="8:13" s="8" customFormat="1" x14ac:dyDescent="0.3">
      <c r="H236" s="5" t="s">
        <v>144</v>
      </c>
      <c r="I236" s="21"/>
      <c r="J236" s="13"/>
      <c r="L236" s="26">
        <f>Table134567810111213141516171819202122232425262728[[#This Row],[الدولار]]+(Table134567810111213141516171819202122232425262728[[#This Row],[اللبناني]]/90)</f>
        <v>0</v>
      </c>
      <c r="M236" s="6"/>
    </row>
    <row r="237" spans="8:13" s="8" customFormat="1" x14ac:dyDescent="0.3">
      <c r="H237" s="5" t="s">
        <v>144</v>
      </c>
      <c r="I237" s="21"/>
      <c r="J237" s="13"/>
      <c r="L237" s="26">
        <f>Table134567810111213141516171819202122232425262728[[#This Row],[الدولار]]+(Table134567810111213141516171819202122232425262728[[#This Row],[اللبناني]]/90)</f>
        <v>0</v>
      </c>
      <c r="M237" s="6"/>
    </row>
    <row r="238" spans="8:13" s="8" customFormat="1" x14ac:dyDescent="0.3">
      <c r="H238" s="5" t="s">
        <v>144</v>
      </c>
      <c r="I238" s="21"/>
      <c r="J238" s="13"/>
      <c r="L238" s="26">
        <f>Table134567810111213141516171819202122232425262728[[#This Row],[الدولار]]+(Table134567810111213141516171819202122232425262728[[#This Row],[اللبناني]]/90)</f>
        <v>0</v>
      </c>
      <c r="M238" s="6"/>
    </row>
    <row r="239" spans="8:13" s="8" customFormat="1" x14ac:dyDescent="0.3">
      <c r="H239" s="5" t="s">
        <v>144</v>
      </c>
      <c r="I239" s="21"/>
      <c r="J239" s="13"/>
      <c r="L239" s="26">
        <f>Table134567810111213141516171819202122232425262728[[#This Row],[الدولار]]+(Table134567810111213141516171819202122232425262728[[#This Row],[اللبناني]]/90)</f>
        <v>0</v>
      </c>
      <c r="M239" s="6"/>
    </row>
    <row r="240" spans="8:13" s="8" customFormat="1" x14ac:dyDescent="0.3">
      <c r="H240" s="5" t="s">
        <v>144</v>
      </c>
      <c r="I240" s="21"/>
      <c r="J240" s="13"/>
      <c r="L240" s="26">
        <f>Table134567810111213141516171819202122232425262728[[#This Row],[الدولار]]+(Table134567810111213141516171819202122232425262728[[#This Row],[اللبناني]]/90)</f>
        <v>0</v>
      </c>
      <c r="M240" s="6"/>
    </row>
    <row r="241" spans="8:13" s="8" customFormat="1" x14ac:dyDescent="0.3">
      <c r="H241" s="5" t="s">
        <v>144</v>
      </c>
      <c r="I241" s="21"/>
      <c r="J241" s="13"/>
      <c r="L241" s="26">
        <f>Table134567810111213141516171819202122232425262728[[#This Row],[الدولار]]+(Table134567810111213141516171819202122232425262728[[#This Row],[اللبناني]]/90)</f>
        <v>0</v>
      </c>
      <c r="M241" s="6"/>
    </row>
    <row r="242" spans="8:13" s="8" customFormat="1" x14ac:dyDescent="0.3">
      <c r="H242" s="5" t="s">
        <v>144</v>
      </c>
      <c r="I242" s="21"/>
      <c r="J242" s="13"/>
      <c r="L242" s="26">
        <f>Table134567810111213141516171819202122232425262728[[#This Row],[الدولار]]+(Table134567810111213141516171819202122232425262728[[#This Row],[اللبناني]]/90)</f>
        <v>0</v>
      </c>
      <c r="M242" s="6"/>
    </row>
    <row r="243" spans="8:13" s="8" customFormat="1" x14ac:dyDescent="0.3">
      <c r="H243" s="5" t="s">
        <v>144</v>
      </c>
      <c r="I243" s="21"/>
      <c r="J243" s="13"/>
      <c r="L243" s="26">
        <f>Table134567810111213141516171819202122232425262728[[#This Row],[الدولار]]+(Table134567810111213141516171819202122232425262728[[#This Row],[اللبناني]]/90)</f>
        <v>0</v>
      </c>
      <c r="M243" s="6"/>
    </row>
    <row r="244" spans="8:13" s="8" customFormat="1" x14ac:dyDescent="0.3">
      <c r="H244" s="5" t="s">
        <v>144</v>
      </c>
      <c r="I244" s="21"/>
      <c r="J244" s="13"/>
      <c r="L244" s="26">
        <f>Table134567810111213141516171819202122232425262728[[#This Row],[الدولار]]+(Table134567810111213141516171819202122232425262728[[#This Row],[اللبناني]]/90)</f>
        <v>0</v>
      </c>
      <c r="M244" s="6"/>
    </row>
    <row r="245" spans="8:13" s="8" customFormat="1" x14ac:dyDescent="0.3">
      <c r="H245" s="5" t="s">
        <v>144</v>
      </c>
      <c r="I245" s="21"/>
      <c r="J245" s="13"/>
      <c r="L245" s="26">
        <f>Table134567810111213141516171819202122232425262728[[#This Row],[الدولار]]+(Table134567810111213141516171819202122232425262728[[#This Row],[اللبناني]]/90)</f>
        <v>0</v>
      </c>
      <c r="M245" s="6"/>
    </row>
    <row r="246" spans="8:13" s="8" customFormat="1" x14ac:dyDescent="0.3">
      <c r="H246" s="5" t="s">
        <v>144</v>
      </c>
      <c r="I246" s="21"/>
      <c r="J246" s="13"/>
      <c r="L246" s="26">
        <f>Table134567810111213141516171819202122232425262728[[#This Row],[الدولار]]+(Table134567810111213141516171819202122232425262728[[#This Row],[اللبناني]]/90)</f>
        <v>0</v>
      </c>
      <c r="M246" s="6"/>
    </row>
    <row r="247" spans="8:13" s="8" customFormat="1" x14ac:dyDescent="0.3">
      <c r="H247" s="5" t="s">
        <v>144</v>
      </c>
      <c r="I247" s="21"/>
      <c r="J247" s="13"/>
      <c r="L247" s="26">
        <f>Table134567810111213141516171819202122232425262728[[#This Row],[الدولار]]+(Table134567810111213141516171819202122232425262728[[#This Row],[اللبناني]]/90)</f>
        <v>0</v>
      </c>
      <c r="M247" s="6"/>
    </row>
    <row r="248" spans="8:13" s="8" customFormat="1" x14ac:dyDescent="0.3">
      <c r="H248" s="5" t="s">
        <v>144</v>
      </c>
      <c r="I248" s="21"/>
      <c r="J248" s="13"/>
      <c r="L248" s="26">
        <f>Table134567810111213141516171819202122232425262728[[#This Row],[الدولار]]+(Table134567810111213141516171819202122232425262728[[#This Row],[اللبناني]]/90)</f>
        <v>0</v>
      </c>
      <c r="M248" s="6"/>
    </row>
    <row r="249" spans="8:13" s="8" customFormat="1" x14ac:dyDescent="0.3">
      <c r="H249" s="5" t="s">
        <v>144</v>
      </c>
      <c r="I249" s="21"/>
      <c r="J249" s="13"/>
      <c r="L249" s="26">
        <f>Table134567810111213141516171819202122232425262728[[#This Row],[الدولار]]+(Table134567810111213141516171819202122232425262728[[#This Row],[اللبناني]]/90)</f>
        <v>0</v>
      </c>
      <c r="M249" s="6"/>
    </row>
    <row r="250" spans="8:13" s="8" customFormat="1" x14ac:dyDescent="0.3">
      <c r="H250" s="5" t="s">
        <v>144</v>
      </c>
      <c r="I250" s="21"/>
      <c r="J250" s="13"/>
      <c r="L250" s="26">
        <f>Table134567810111213141516171819202122232425262728[[#This Row],[الدولار]]+(Table134567810111213141516171819202122232425262728[[#This Row],[اللبناني]]/90)</f>
        <v>0</v>
      </c>
      <c r="M250" s="6"/>
    </row>
    <row r="251" spans="8:13" s="8" customFormat="1" x14ac:dyDescent="0.3">
      <c r="H251" s="5" t="s">
        <v>144</v>
      </c>
      <c r="I251" s="21"/>
      <c r="J251" s="13"/>
      <c r="L251" s="26">
        <f>Table134567810111213141516171819202122232425262728[[#This Row],[الدولار]]+(Table134567810111213141516171819202122232425262728[[#This Row],[اللبناني]]/90)</f>
        <v>0</v>
      </c>
      <c r="M251" s="6"/>
    </row>
    <row r="252" spans="8:13" s="8" customFormat="1" x14ac:dyDescent="0.3">
      <c r="H252" s="5" t="s">
        <v>144</v>
      </c>
      <c r="I252" s="21"/>
      <c r="J252" s="13"/>
      <c r="L252" s="26">
        <f>Table134567810111213141516171819202122232425262728[[#This Row],[الدولار]]+(Table134567810111213141516171819202122232425262728[[#This Row],[اللبناني]]/90)</f>
        <v>0</v>
      </c>
      <c r="M252" s="6"/>
    </row>
    <row r="253" spans="8:13" s="8" customFormat="1" x14ac:dyDescent="0.3">
      <c r="H253" s="5" t="s">
        <v>144</v>
      </c>
      <c r="I253" s="21"/>
      <c r="J253" s="13"/>
      <c r="L253" s="26">
        <f>Table134567810111213141516171819202122232425262728[[#This Row],[الدولار]]+(Table134567810111213141516171819202122232425262728[[#This Row],[اللبناني]]/90)</f>
        <v>0</v>
      </c>
      <c r="M253" s="6"/>
    </row>
    <row r="254" spans="8:13" s="8" customFormat="1" x14ac:dyDescent="0.3">
      <c r="H254" s="5" t="s">
        <v>144</v>
      </c>
      <c r="I254" s="21"/>
      <c r="J254" s="13"/>
      <c r="L254" s="26">
        <f>Table134567810111213141516171819202122232425262728[[#This Row],[الدولار]]+(Table134567810111213141516171819202122232425262728[[#This Row],[اللبناني]]/90)</f>
        <v>0</v>
      </c>
      <c r="M254" s="6"/>
    </row>
    <row r="255" spans="8:13" s="8" customFormat="1" x14ac:dyDescent="0.3">
      <c r="H255" s="5" t="s">
        <v>144</v>
      </c>
      <c r="I255" s="21"/>
      <c r="J255" s="13"/>
      <c r="L255" s="26">
        <f>Table134567810111213141516171819202122232425262728[[#This Row],[الدولار]]+(Table134567810111213141516171819202122232425262728[[#This Row],[اللبناني]]/90)</f>
        <v>0</v>
      </c>
      <c r="M255" s="6"/>
    </row>
    <row r="256" spans="8:13" s="8" customFormat="1" x14ac:dyDescent="0.3">
      <c r="H256" s="5" t="s">
        <v>144</v>
      </c>
      <c r="I256" s="21"/>
      <c r="J256" s="13"/>
      <c r="L256" s="26">
        <f>Table134567810111213141516171819202122232425262728[[#This Row],[الدولار]]+(Table134567810111213141516171819202122232425262728[[#This Row],[اللبناني]]/90)</f>
        <v>0</v>
      </c>
      <c r="M256" s="6"/>
    </row>
    <row r="257" spans="8:13" s="8" customFormat="1" x14ac:dyDescent="0.3">
      <c r="H257" s="5" t="s">
        <v>144</v>
      </c>
      <c r="I257" s="21"/>
      <c r="J257" s="13"/>
      <c r="L257" s="26">
        <f>Table134567810111213141516171819202122232425262728[[#This Row],[الدولار]]+(Table134567810111213141516171819202122232425262728[[#This Row],[اللبناني]]/90)</f>
        <v>0</v>
      </c>
      <c r="M257" s="6"/>
    </row>
    <row r="258" spans="8:13" s="8" customFormat="1" x14ac:dyDescent="0.3">
      <c r="H258" s="5" t="s">
        <v>144</v>
      </c>
      <c r="I258" s="21"/>
      <c r="J258" s="13"/>
      <c r="L258" s="26">
        <f>Table134567810111213141516171819202122232425262728[[#This Row],[الدولار]]+(Table134567810111213141516171819202122232425262728[[#This Row],[اللبناني]]/90)</f>
        <v>0</v>
      </c>
      <c r="M258" s="6"/>
    </row>
    <row r="259" spans="8:13" s="8" customFormat="1" x14ac:dyDescent="0.3">
      <c r="H259" s="5" t="s">
        <v>144</v>
      </c>
      <c r="I259" s="21"/>
      <c r="J259" s="13"/>
      <c r="L259" s="26">
        <f>Table134567810111213141516171819202122232425262728[[#This Row],[الدولار]]+(Table134567810111213141516171819202122232425262728[[#This Row],[اللبناني]]/90)</f>
        <v>0</v>
      </c>
      <c r="M259" s="6"/>
    </row>
    <row r="260" spans="8:13" s="8" customFormat="1" x14ac:dyDescent="0.3">
      <c r="H260" s="5" t="s">
        <v>144</v>
      </c>
      <c r="I260" s="21"/>
      <c r="J260" s="13"/>
      <c r="L260" s="26">
        <f>Table134567810111213141516171819202122232425262728[[#This Row],[الدولار]]+(Table134567810111213141516171819202122232425262728[[#This Row],[اللبناني]]/90)</f>
        <v>0</v>
      </c>
      <c r="M260" s="6"/>
    </row>
    <row r="261" spans="8:13" s="8" customFormat="1" x14ac:dyDescent="0.3">
      <c r="H261" s="5" t="s">
        <v>144</v>
      </c>
      <c r="I261" s="21"/>
      <c r="J261" s="13"/>
      <c r="L261" s="26">
        <f>Table134567810111213141516171819202122232425262728[[#This Row],[الدولار]]+(Table134567810111213141516171819202122232425262728[[#This Row],[اللبناني]]/90)</f>
        <v>0</v>
      </c>
      <c r="M261" s="6"/>
    </row>
    <row r="262" spans="8:13" s="8" customFormat="1" x14ac:dyDescent="0.3">
      <c r="H262" s="5" t="s">
        <v>144</v>
      </c>
      <c r="I262" s="21"/>
      <c r="J262" s="13"/>
      <c r="L262" s="26">
        <f>Table134567810111213141516171819202122232425262728[[#This Row],[الدولار]]+(Table134567810111213141516171819202122232425262728[[#This Row],[اللبناني]]/90)</f>
        <v>0</v>
      </c>
      <c r="M262" s="6"/>
    </row>
    <row r="263" spans="8:13" s="8" customFormat="1" x14ac:dyDescent="0.3">
      <c r="H263" s="5" t="s">
        <v>144</v>
      </c>
      <c r="I263" s="21"/>
      <c r="J263" s="13"/>
      <c r="L263" s="26">
        <f>Table134567810111213141516171819202122232425262728[[#This Row],[الدولار]]+(Table134567810111213141516171819202122232425262728[[#This Row],[اللبناني]]/90)</f>
        <v>0</v>
      </c>
      <c r="M263" s="6"/>
    </row>
    <row r="264" spans="8:13" s="8" customFormat="1" x14ac:dyDescent="0.3">
      <c r="H264" s="5" t="s">
        <v>144</v>
      </c>
      <c r="I264" s="21"/>
      <c r="J264" s="13"/>
      <c r="L264" s="26">
        <f>Table134567810111213141516171819202122232425262728[[#This Row],[الدولار]]+(Table134567810111213141516171819202122232425262728[[#This Row],[اللبناني]]/90)</f>
        <v>0</v>
      </c>
      <c r="M264" s="6"/>
    </row>
    <row r="265" spans="8:13" s="8" customFormat="1" x14ac:dyDescent="0.3">
      <c r="H265" s="5" t="s">
        <v>144</v>
      </c>
      <c r="I265" s="21"/>
      <c r="J265" s="13"/>
      <c r="L265" s="26">
        <f>Table134567810111213141516171819202122232425262728[[#This Row],[الدولار]]+(Table134567810111213141516171819202122232425262728[[#This Row],[اللبناني]]/90)</f>
        <v>0</v>
      </c>
      <c r="M265" s="6"/>
    </row>
    <row r="266" spans="8:13" s="8" customFormat="1" x14ac:dyDescent="0.3">
      <c r="H266" s="5" t="s">
        <v>144</v>
      </c>
      <c r="I266" s="21"/>
      <c r="J266" s="13"/>
      <c r="L266" s="26">
        <f>Table134567810111213141516171819202122232425262728[[#This Row],[الدولار]]+(Table134567810111213141516171819202122232425262728[[#This Row],[اللبناني]]/90)</f>
        <v>0</v>
      </c>
      <c r="M266" s="6"/>
    </row>
    <row r="267" spans="8:13" s="8" customFormat="1" x14ac:dyDescent="0.3">
      <c r="H267" s="5" t="s">
        <v>144</v>
      </c>
      <c r="I267" s="21"/>
      <c r="J267" s="13"/>
      <c r="L267" s="26">
        <f>Table134567810111213141516171819202122232425262728[[#This Row],[الدولار]]+(Table134567810111213141516171819202122232425262728[[#This Row],[اللبناني]]/90)</f>
        <v>0</v>
      </c>
      <c r="M267" s="6"/>
    </row>
    <row r="268" spans="8:13" s="8" customFormat="1" x14ac:dyDescent="0.3">
      <c r="H268" s="5" t="s">
        <v>144</v>
      </c>
      <c r="I268" s="21"/>
      <c r="J268" s="13"/>
      <c r="L268" s="26">
        <f>Table134567810111213141516171819202122232425262728[[#This Row],[الدولار]]+(Table134567810111213141516171819202122232425262728[[#This Row],[اللبناني]]/90)</f>
        <v>0</v>
      </c>
      <c r="M268" s="6"/>
    </row>
    <row r="269" spans="8:13" s="8" customFormat="1" x14ac:dyDescent="0.3">
      <c r="H269" s="5" t="s">
        <v>144</v>
      </c>
      <c r="I269" s="21"/>
      <c r="J269" s="13"/>
      <c r="L269" s="26">
        <f>Table134567810111213141516171819202122232425262728[[#This Row],[الدولار]]+(Table134567810111213141516171819202122232425262728[[#This Row],[اللبناني]]/90)</f>
        <v>0</v>
      </c>
      <c r="M269" s="6"/>
    </row>
    <row r="270" spans="8:13" s="8" customFormat="1" x14ac:dyDescent="0.3">
      <c r="H270" s="5" t="s">
        <v>144</v>
      </c>
      <c r="I270" s="21"/>
      <c r="J270" s="13"/>
      <c r="L270" s="26">
        <f>Table134567810111213141516171819202122232425262728[[#This Row],[الدولار]]+(Table134567810111213141516171819202122232425262728[[#This Row],[اللبناني]]/90)</f>
        <v>0</v>
      </c>
      <c r="M270" s="6"/>
    </row>
    <row r="271" spans="8:13" s="8" customFormat="1" x14ac:dyDescent="0.3">
      <c r="H271" s="5" t="s">
        <v>144</v>
      </c>
      <c r="I271" s="21"/>
      <c r="J271" s="13"/>
      <c r="L271" s="26">
        <f>Table134567810111213141516171819202122232425262728[[#This Row],[الدولار]]+(Table134567810111213141516171819202122232425262728[[#This Row],[اللبناني]]/90)</f>
        <v>0</v>
      </c>
      <c r="M271" s="6"/>
    </row>
    <row r="272" spans="8:13" s="8" customFormat="1" x14ac:dyDescent="0.3">
      <c r="H272" s="5" t="s">
        <v>144</v>
      </c>
      <c r="I272" s="21"/>
      <c r="J272" s="13"/>
      <c r="L272" s="26">
        <f>Table134567810111213141516171819202122232425262728[[#This Row],[الدولار]]+(Table134567810111213141516171819202122232425262728[[#This Row],[اللبناني]]/90)</f>
        <v>0</v>
      </c>
      <c r="M272" s="6"/>
    </row>
    <row r="273" spans="8:13" s="8" customFormat="1" x14ac:dyDescent="0.3">
      <c r="H273" s="5" t="s">
        <v>144</v>
      </c>
      <c r="I273" s="21"/>
      <c r="J273" s="13"/>
      <c r="L273" s="26">
        <f>Table134567810111213141516171819202122232425262728[[#This Row],[الدولار]]+(Table134567810111213141516171819202122232425262728[[#This Row],[اللبناني]]/90)</f>
        <v>0</v>
      </c>
      <c r="M273" s="6"/>
    </row>
    <row r="274" spans="8:13" s="8" customFormat="1" x14ac:dyDescent="0.3">
      <c r="H274" s="5" t="s">
        <v>144</v>
      </c>
      <c r="I274" s="21"/>
      <c r="J274" s="13"/>
      <c r="L274" s="26">
        <f>Table134567810111213141516171819202122232425262728[[#This Row],[الدولار]]+(Table134567810111213141516171819202122232425262728[[#This Row],[اللبناني]]/90)</f>
        <v>0</v>
      </c>
      <c r="M274" s="6"/>
    </row>
    <row r="275" spans="8:13" s="8" customFormat="1" x14ac:dyDescent="0.3">
      <c r="H275" s="5" t="s">
        <v>144</v>
      </c>
      <c r="I275" s="21"/>
      <c r="J275" s="13"/>
      <c r="L275" s="26">
        <f>Table134567810111213141516171819202122232425262728[[#This Row],[الدولار]]+(Table134567810111213141516171819202122232425262728[[#This Row],[اللبناني]]/90)</f>
        <v>0</v>
      </c>
      <c r="M275" s="6"/>
    </row>
    <row r="276" spans="8:13" s="8" customFormat="1" x14ac:dyDescent="0.3">
      <c r="H276" s="5" t="s">
        <v>144</v>
      </c>
      <c r="I276" s="21"/>
      <c r="J276" s="13"/>
      <c r="L276" s="26">
        <f>Table134567810111213141516171819202122232425262728[[#This Row],[الدولار]]+(Table134567810111213141516171819202122232425262728[[#This Row],[اللبناني]]/90)</f>
        <v>0</v>
      </c>
      <c r="M276" s="6"/>
    </row>
    <row r="277" spans="8:13" s="8" customFormat="1" x14ac:dyDescent="0.3">
      <c r="H277" s="5" t="s">
        <v>144</v>
      </c>
      <c r="I277" s="21"/>
      <c r="J277" s="13"/>
      <c r="L277" s="26">
        <f>Table134567810111213141516171819202122232425262728[[#This Row],[الدولار]]+(Table134567810111213141516171819202122232425262728[[#This Row],[اللبناني]]/90)</f>
        <v>0</v>
      </c>
      <c r="M277" s="6"/>
    </row>
    <row r="278" spans="8:13" s="8" customFormat="1" x14ac:dyDescent="0.3">
      <c r="H278" s="5" t="s">
        <v>144</v>
      </c>
      <c r="I278" s="21"/>
      <c r="J278" s="13"/>
      <c r="L278" s="26">
        <f>Table134567810111213141516171819202122232425262728[[#This Row],[الدولار]]+(Table134567810111213141516171819202122232425262728[[#This Row],[اللبناني]]/90)</f>
        <v>0</v>
      </c>
      <c r="M278" s="6"/>
    </row>
    <row r="279" spans="8:13" s="8" customFormat="1" x14ac:dyDescent="0.3">
      <c r="H279" s="5" t="s">
        <v>144</v>
      </c>
      <c r="I279" s="21"/>
      <c r="J279" s="13"/>
      <c r="L279" s="26">
        <f>Table134567810111213141516171819202122232425262728[[#This Row],[الدولار]]+(Table134567810111213141516171819202122232425262728[[#This Row],[اللبناني]]/90)</f>
        <v>0</v>
      </c>
      <c r="M279" s="6"/>
    </row>
    <row r="280" spans="8:13" s="8" customFormat="1" x14ac:dyDescent="0.3">
      <c r="H280" s="5" t="s">
        <v>144</v>
      </c>
      <c r="I280" s="21"/>
      <c r="J280" s="13"/>
      <c r="L280" s="26">
        <f>Table134567810111213141516171819202122232425262728[[#This Row],[الدولار]]+(Table134567810111213141516171819202122232425262728[[#This Row],[اللبناني]]/90)</f>
        <v>0</v>
      </c>
      <c r="M280" s="6"/>
    </row>
    <row r="281" spans="8:13" s="8" customFormat="1" x14ac:dyDescent="0.3">
      <c r="H281" s="5" t="s">
        <v>144</v>
      </c>
      <c r="I281" s="21"/>
      <c r="J281" s="13"/>
      <c r="L281" s="26">
        <f>Table134567810111213141516171819202122232425262728[[#This Row],[الدولار]]+(Table134567810111213141516171819202122232425262728[[#This Row],[اللبناني]]/90)</f>
        <v>0</v>
      </c>
      <c r="M281" s="6"/>
    </row>
    <row r="282" spans="8:13" s="8" customFormat="1" x14ac:dyDescent="0.3">
      <c r="H282" s="5" t="s">
        <v>144</v>
      </c>
      <c r="I282" s="21"/>
      <c r="J282" s="13"/>
      <c r="L282" s="26">
        <f>Table134567810111213141516171819202122232425262728[[#This Row],[الدولار]]+(Table134567810111213141516171819202122232425262728[[#This Row],[اللبناني]]/90)</f>
        <v>0</v>
      </c>
      <c r="M282" s="6"/>
    </row>
    <row r="283" spans="8:13" s="8" customFormat="1" x14ac:dyDescent="0.3">
      <c r="H283" s="5" t="s">
        <v>144</v>
      </c>
      <c r="I283" s="21"/>
      <c r="J283" s="13"/>
      <c r="L283" s="26">
        <f>Table134567810111213141516171819202122232425262728[[#This Row],[الدولار]]+(Table134567810111213141516171819202122232425262728[[#This Row],[اللبناني]]/90)</f>
        <v>0</v>
      </c>
      <c r="M283" s="6"/>
    </row>
    <row r="284" spans="8:13" s="8" customFormat="1" x14ac:dyDescent="0.3">
      <c r="H284" s="5" t="s">
        <v>144</v>
      </c>
      <c r="I284" s="21"/>
      <c r="J284" s="13"/>
      <c r="L284" s="26">
        <f>Table134567810111213141516171819202122232425262728[[#This Row],[الدولار]]+(Table134567810111213141516171819202122232425262728[[#This Row],[اللبناني]]/90)</f>
        <v>0</v>
      </c>
      <c r="M284" s="6"/>
    </row>
    <row r="285" spans="8:13" s="8" customFormat="1" x14ac:dyDescent="0.3">
      <c r="H285" s="5" t="s">
        <v>144</v>
      </c>
      <c r="I285" s="21"/>
      <c r="J285" s="13"/>
      <c r="L285" s="26">
        <f>Table134567810111213141516171819202122232425262728[[#This Row],[الدولار]]+(Table134567810111213141516171819202122232425262728[[#This Row],[اللبناني]]/90)</f>
        <v>0</v>
      </c>
      <c r="M285" s="6"/>
    </row>
    <row r="286" spans="8:13" s="8" customFormat="1" x14ac:dyDescent="0.3">
      <c r="H286" s="5" t="s">
        <v>144</v>
      </c>
      <c r="I286" s="21"/>
      <c r="J286" s="13"/>
      <c r="L286" s="26">
        <f>Table134567810111213141516171819202122232425262728[[#This Row],[الدولار]]+(Table134567810111213141516171819202122232425262728[[#This Row],[اللبناني]]/90)</f>
        <v>0</v>
      </c>
      <c r="M286" s="6"/>
    </row>
    <row r="287" spans="8:13" s="8" customFormat="1" x14ac:dyDescent="0.3">
      <c r="H287" s="5" t="s">
        <v>144</v>
      </c>
      <c r="I287" s="21"/>
      <c r="J287" s="13"/>
      <c r="L287" s="26">
        <f>Table134567810111213141516171819202122232425262728[[#This Row],[الدولار]]+(Table134567810111213141516171819202122232425262728[[#This Row],[اللبناني]]/90)</f>
        <v>0</v>
      </c>
      <c r="M287" s="6"/>
    </row>
    <row r="288" spans="8:13" s="8" customFormat="1" x14ac:dyDescent="0.3">
      <c r="H288" s="5" t="s">
        <v>144</v>
      </c>
      <c r="I288" s="21"/>
      <c r="J288" s="13"/>
      <c r="L288" s="26">
        <f>Table134567810111213141516171819202122232425262728[[#This Row],[الدولار]]+(Table134567810111213141516171819202122232425262728[[#This Row],[اللبناني]]/90)</f>
        <v>0</v>
      </c>
      <c r="M288" s="6"/>
    </row>
    <row r="289" spans="8:13" s="8" customFormat="1" x14ac:dyDescent="0.3">
      <c r="H289" s="5" t="s">
        <v>144</v>
      </c>
      <c r="I289" s="21"/>
      <c r="J289" s="13"/>
      <c r="L289" s="26">
        <f>Table134567810111213141516171819202122232425262728[[#This Row],[الدولار]]+(Table134567810111213141516171819202122232425262728[[#This Row],[اللبناني]]/90)</f>
        <v>0</v>
      </c>
      <c r="M289" s="6"/>
    </row>
    <row r="290" spans="8:13" s="8" customFormat="1" x14ac:dyDescent="0.3">
      <c r="H290" s="5" t="s">
        <v>144</v>
      </c>
      <c r="I290" s="21"/>
      <c r="J290" s="13"/>
      <c r="L290" s="26">
        <f>Table134567810111213141516171819202122232425262728[[#This Row],[الدولار]]+(Table134567810111213141516171819202122232425262728[[#This Row],[اللبناني]]/90)</f>
        <v>0</v>
      </c>
      <c r="M290" s="6"/>
    </row>
    <row r="291" spans="8:13" s="8" customFormat="1" x14ac:dyDescent="0.3">
      <c r="H291" s="5" t="s">
        <v>144</v>
      </c>
      <c r="I291" s="21"/>
      <c r="J291" s="13"/>
      <c r="L291" s="26">
        <f>Table134567810111213141516171819202122232425262728[[#This Row],[الدولار]]+(Table134567810111213141516171819202122232425262728[[#This Row],[اللبناني]]/90)</f>
        <v>0</v>
      </c>
      <c r="M291" s="6"/>
    </row>
    <row r="292" spans="8:13" s="8" customFormat="1" x14ac:dyDescent="0.3">
      <c r="H292" s="5" t="s">
        <v>144</v>
      </c>
      <c r="I292" s="21"/>
      <c r="J292" s="13"/>
      <c r="L292" s="26">
        <f>Table134567810111213141516171819202122232425262728[[#This Row],[الدولار]]+(Table134567810111213141516171819202122232425262728[[#This Row],[اللبناني]]/90)</f>
        <v>0</v>
      </c>
      <c r="M292" s="6"/>
    </row>
    <row r="293" spans="8:13" s="8" customFormat="1" x14ac:dyDescent="0.3">
      <c r="H293" s="5" t="s">
        <v>144</v>
      </c>
      <c r="I293" s="21"/>
      <c r="J293" s="13"/>
      <c r="L293" s="26">
        <f>Table134567810111213141516171819202122232425262728[[#This Row],[الدولار]]+(Table134567810111213141516171819202122232425262728[[#This Row],[اللبناني]]/90)</f>
        <v>0</v>
      </c>
      <c r="M293" s="6"/>
    </row>
    <row r="294" spans="8:13" s="8" customFormat="1" x14ac:dyDescent="0.3">
      <c r="H294" s="5" t="s">
        <v>144</v>
      </c>
      <c r="I294" s="21"/>
      <c r="J294" s="13"/>
      <c r="L294" s="26">
        <f>Table134567810111213141516171819202122232425262728[[#This Row],[الدولار]]+(Table134567810111213141516171819202122232425262728[[#This Row],[اللبناني]]/90)</f>
        <v>0</v>
      </c>
      <c r="M294" s="6"/>
    </row>
    <row r="295" spans="8:13" s="8" customFormat="1" x14ac:dyDescent="0.3">
      <c r="H295" s="5" t="s">
        <v>144</v>
      </c>
      <c r="I295" s="21"/>
      <c r="J295" s="13"/>
      <c r="L295" s="26">
        <f>Table134567810111213141516171819202122232425262728[[#This Row],[الدولار]]+(Table134567810111213141516171819202122232425262728[[#This Row],[اللبناني]]/90)</f>
        <v>0</v>
      </c>
      <c r="M295" s="6"/>
    </row>
    <row r="296" spans="8:13" s="8" customFormat="1" x14ac:dyDescent="0.3">
      <c r="H296" s="5" t="s">
        <v>144</v>
      </c>
      <c r="I296" s="21"/>
      <c r="J296" s="13"/>
      <c r="L296" s="26">
        <f>Table134567810111213141516171819202122232425262728[[#This Row],[الدولار]]+(Table134567810111213141516171819202122232425262728[[#This Row],[اللبناني]]/90)</f>
        <v>0</v>
      </c>
      <c r="M296" s="6"/>
    </row>
    <row r="297" spans="8:13" s="8" customFormat="1" x14ac:dyDescent="0.3">
      <c r="H297" s="5" t="s">
        <v>144</v>
      </c>
      <c r="I297" s="21"/>
      <c r="J297" s="13"/>
      <c r="L297" s="26">
        <f>Table134567810111213141516171819202122232425262728[[#This Row],[الدولار]]+(Table134567810111213141516171819202122232425262728[[#This Row],[اللبناني]]/90)</f>
        <v>0</v>
      </c>
      <c r="M297" s="6"/>
    </row>
    <row r="298" spans="8:13" s="8" customFormat="1" x14ac:dyDescent="0.3">
      <c r="H298" s="5" t="s">
        <v>144</v>
      </c>
      <c r="I298" s="21"/>
      <c r="J298" s="13"/>
      <c r="L298" s="26">
        <f>Table134567810111213141516171819202122232425262728[[#This Row],[الدولار]]+(Table134567810111213141516171819202122232425262728[[#This Row],[اللبناني]]/90)</f>
        <v>0</v>
      </c>
      <c r="M298" s="6"/>
    </row>
    <row r="299" spans="8:13" s="8" customFormat="1" x14ac:dyDescent="0.3">
      <c r="H299" s="5" t="s">
        <v>144</v>
      </c>
      <c r="I299" s="21"/>
      <c r="J299" s="13"/>
      <c r="L299" s="26">
        <f>Table134567810111213141516171819202122232425262728[[#This Row],[الدولار]]+(Table134567810111213141516171819202122232425262728[[#This Row],[اللبناني]]/90)</f>
        <v>0</v>
      </c>
      <c r="M299" s="6"/>
    </row>
    <row r="300" spans="8:13" s="8" customFormat="1" x14ac:dyDescent="0.3">
      <c r="H300" s="5" t="s">
        <v>144</v>
      </c>
      <c r="I300" s="21"/>
      <c r="J300" s="13"/>
      <c r="L300" s="26">
        <f>Table134567810111213141516171819202122232425262728[[#This Row],[الدولار]]+(Table134567810111213141516171819202122232425262728[[#This Row],[اللبناني]]/90)</f>
        <v>0</v>
      </c>
      <c r="M300" s="6"/>
    </row>
    <row r="301" spans="8:13" s="8" customFormat="1" x14ac:dyDescent="0.3">
      <c r="H301" s="5" t="s">
        <v>144</v>
      </c>
      <c r="I301" s="21"/>
      <c r="J301" s="13"/>
      <c r="L301" s="26">
        <f>Table134567810111213141516171819202122232425262728[[#This Row],[الدولار]]+(Table134567810111213141516171819202122232425262728[[#This Row],[اللبناني]]/90)</f>
        <v>0</v>
      </c>
      <c r="M301" s="6"/>
    </row>
    <row r="302" spans="8:13" s="8" customFormat="1" x14ac:dyDescent="0.3">
      <c r="H302" s="5" t="s">
        <v>144</v>
      </c>
      <c r="I302" s="21"/>
      <c r="J302" s="13"/>
      <c r="L302" s="26">
        <f>Table134567810111213141516171819202122232425262728[[#This Row],[الدولار]]+(Table134567810111213141516171819202122232425262728[[#This Row],[اللبناني]]/90)</f>
        <v>0</v>
      </c>
      <c r="M302" s="6"/>
    </row>
    <row r="303" spans="8:13" s="8" customFormat="1" x14ac:dyDescent="0.3">
      <c r="H303" s="5" t="s">
        <v>144</v>
      </c>
      <c r="I303" s="21"/>
      <c r="J303" s="13"/>
      <c r="L303" s="26">
        <f>Table134567810111213141516171819202122232425262728[[#This Row],[الدولار]]+(Table134567810111213141516171819202122232425262728[[#This Row],[اللبناني]]/90)</f>
        <v>0</v>
      </c>
      <c r="M303" s="6"/>
    </row>
    <row r="304" spans="8:13" s="8" customFormat="1" x14ac:dyDescent="0.3">
      <c r="H304" s="5" t="s">
        <v>144</v>
      </c>
      <c r="I304" s="21"/>
      <c r="J304" s="13"/>
      <c r="L304" s="26">
        <f>Table134567810111213141516171819202122232425262728[[#This Row],[الدولار]]+(Table134567810111213141516171819202122232425262728[[#This Row],[اللبناني]]/90)</f>
        <v>0</v>
      </c>
      <c r="M304" s="6"/>
    </row>
    <row r="305" spans="8:13" s="8" customFormat="1" x14ac:dyDescent="0.3">
      <c r="H305" s="5" t="s">
        <v>144</v>
      </c>
      <c r="I305" s="21"/>
      <c r="J305" s="13"/>
      <c r="L305" s="26">
        <f>Table134567810111213141516171819202122232425262728[[#This Row],[الدولار]]+(Table134567810111213141516171819202122232425262728[[#This Row],[اللبناني]]/90)</f>
        <v>0</v>
      </c>
      <c r="M305" s="6"/>
    </row>
    <row r="306" spans="8:13" s="8" customFormat="1" x14ac:dyDescent="0.3">
      <c r="H306" s="5" t="s">
        <v>144</v>
      </c>
      <c r="I306" s="21"/>
      <c r="J306" s="13"/>
      <c r="L306" s="26">
        <f>Table134567810111213141516171819202122232425262728[[#This Row],[الدولار]]+(Table134567810111213141516171819202122232425262728[[#This Row],[اللبناني]]/90)</f>
        <v>0</v>
      </c>
      <c r="M306" s="6"/>
    </row>
    <row r="307" spans="8:13" s="8" customFormat="1" x14ac:dyDescent="0.3">
      <c r="H307" s="5" t="s">
        <v>144</v>
      </c>
      <c r="I307" s="21"/>
      <c r="J307" s="13"/>
      <c r="L307" s="26">
        <f>Table134567810111213141516171819202122232425262728[[#This Row],[الدولار]]+(Table134567810111213141516171819202122232425262728[[#This Row],[اللبناني]]/90)</f>
        <v>0</v>
      </c>
      <c r="M307" s="6"/>
    </row>
    <row r="308" spans="8:13" s="8" customFormat="1" x14ac:dyDescent="0.3">
      <c r="H308" s="5" t="s">
        <v>144</v>
      </c>
      <c r="I308" s="21"/>
      <c r="J308" s="13"/>
      <c r="L308" s="26">
        <f>Table134567810111213141516171819202122232425262728[[#This Row],[الدولار]]+(Table134567810111213141516171819202122232425262728[[#This Row],[اللبناني]]/90)</f>
        <v>0</v>
      </c>
      <c r="M308" s="6"/>
    </row>
    <row r="309" spans="8:13" s="8" customFormat="1" x14ac:dyDescent="0.3">
      <c r="H309" s="5" t="s">
        <v>144</v>
      </c>
      <c r="I309" s="21"/>
      <c r="J309" s="13"/>
      <c r="L309" s="26">
        <f>Table134567810111213141516171819202122232425262728[[#This Row],[الدولار]]+(Table134567810111213141516171819202122232425262728[[#This Row],[اللبناني]]/90)</f>
        <v>0</v>
      </c>
      <c r="M309" s="6"/>
    </row>
    <row r="310" spans="8:13" s="8" customFormat="1" x14ac:dyDescent="0.3">
      <c r="H310" s="5" t="s">
        <v>144</v>
      </c>
      <c r="I310" s="21"/>
      <c r="J310" s="13"/>
      <c r="L310" s="26">
        <f>Table134567810111213141516171819202122232425262728[[#This Row],[الدولار]]+(Table134567810111213141516171819202122232425262728[[#This Row],[اللبناني]]/90)</f>
        <v>0</v>
      </c>
      <c r="M310" s="6"/>
    </row>
    <row r="311" spans="8:13" s="8" customFormat="1" x14ac:dyDescent="0.3">
      <c r="H311" s="5" t="s">
        <v>144</v>
      </c>
      <c r="I311" s="21"/>
      <c r="J311" s="13"/>
      <c r="L311" s="26">
        <f>Table134567810111213141516171819202122232425262728[[#This Row],[الدولار]]+(Table134567810111213141516171819202122232425262728[[#This Row],[اللبناني]]/90)</f>
        <v>0</v>
      </c>
      <c r="M311" s="6"/>
    </row>
    <row r="312" spans="8:13" s="8" customFormat="1" x14ac:dyDescent="0.3">
      <c r="H312" s="5" t="s">
        <v>144</v>
      </c>
      <c r="I312" s="21"/>
      <c r="J312" s="13"/>
      <c r="L312" s="26">
        <f>Table134567810111213141516171819202122232425262728[[#This Row],[الدولار]]+(Table134567810111213141516171819202122232425262728[[#This Row],[اللبناني]]/90)</f>
        <v>0</v>
      </c>
      <c r="M312" s="6"/>
    </row>
    <row r="313" spans="8:13" s="8" customFormat="1" x14ac:dyDescent="0.3">
      <c r="H313" s="5" t="s">
        <v>144</v>
      </c>
      <c r="I313" s="21"/>
      <c r="J313" s="13"/>
      <c r="L313" s="26">
        <f>Table134567810111213141516171819202122232425262728[[#This Row],[الدولار]]+(Table134567810111213141516171819202122232425262728[[#This Row],[اللبناني]]/90)</f>
        <v>0</v>
      </c>
      <c r="M313" s="6"/>
    </row>
    <row r="314" spans="8:13" s="8" customFormat="1" x14ac:dyDescent="0.3">
      <c r="H314" s="5" t="s">
        <v>144</v>
      </c>
      <c r="I314" s="21"/>
      <c r="J314" s="13"/>
      <c r="L314" s="26">
        <f>Table134567810111213141516171819202122232425262728[[#This Row],[الدولار]]+(Table134567810111213141516171819202122232425262728[[#This Row],[اللبناني]]/90)</f>
        <v>0</v>
      </c>
      <c r="M314" s="6"/>
    </row>
    <row r="315" spans="8:13" s="8" customFormat="1" x14ac:dyDescent="0.3">
      <c r="H315" s="5" t="s">
        <v>144</v>
      </c>
      <c r="I315" s="21"/>
      <c r="J315" s="13"/>
      <c r="L315" s="26">
        <f>Table134567810111213141516171819202122232425262728[[#This Row],[الدولار]]+(Table134567810111213141516171819202122232425262728[[#This Row],[اللبناني]]/90)</f>
        <v>0</v>
      </c>
      <c r="M315" s="6"/>
    </row>
    <row r="316" spans="8:13" s="8" customFormat="1" x14ac:dyDescent="0.3">
      <c r="H316" s="5" t="s">
        <v>144</v>
      </c>
      <c r="I316" s="21"/>
      <c r="J316" s="13"/>
      <c r="L316" s="26">
        <f>Table134567810111213141516171819202122232425262728[[#This Row],[الدولار]]+(Table134567810111213141516171819202122232425262728[[#This Row],[اللبناني]]/90)</f>
        <v>0</v>
      </c>
      <c r="M316" s="6"/>
    </row>
    <row r="317" spans="8:13" s="8" customFormat="1" x14ac:dyDescent="0.3">
      <c r="H317" s="5" t="s">
        <v>144</v>
      </c>
      <c r="I317" s="21"/>
      <c r="J317" s="13"/>
      <c r="L317" s="26">
        <f>Table134567810111213141516171819202122232425262728[[#This Row],[الدولار]]+(Table134567810111213141516171819202122232425262728[[#This Row],[اللبناني]]/90)</f>
        <v>0</v>
      </c>
      <c r="M317" s="6"/>
    </row>
    <row r="318" spans="8:13" s="8" customFormat="1" x14ac:dyDescent="0.3">
      <c r="H318" s="5" t="s">
        <v>144</v>
      </c>
      <c r="I318" s="21"/>
      <c r="J318" s="13"/>
      <c r="L318" s="26">
        <f>Table134567810111213141516171819202122232425262728[[#This Row],[الدولار]]+(Table134567810111213141516171819202122232425262728[[#This Row],[اللبناني]]/90)</f>
        <v>0</v>
      </c>
      <c r="M318" s="6"/>
    </row>
    <row r="319" spans="8:13" s="8" customFormat="1" x14ac:dyDescent="0.3">
      <c r="H319" s="5" t="s">
        <v>144</v>
      </c>
      <c r="I319" s="21"/>
      <c r="J319" s="13"/>
      <c r="L319" s="26">
        <f>Table134567810111213141516171819202122232425262728[[#This Row],[الدولار]]+(Table134567810111213141516171819202122232425262728[[#This Row],[اللبناني]]/90)</f>
        <v>0</v>
      </c>
      <c r="M319" s="6"/>
    </row>
    <row r="320" spans="8:13" s="8" customFormat="1" x14ac:dyDescent="0.3">
      <c r="H320" s="5" t="s">
        <v>144</v>
      </c>
      <c r="I320" s="21"/>
      <c r="J320" s="13"/>
      <c r="L320" s="26">
        <f>Table134567810111213141516171819202122232425262728[[#This Row],[الدولار]]+(Table134567810111213141516171819202122232425262728[[#This Row],[اللبناني]]/90)</f>
        <v>0</v>
      </c>
      <c r="M320" s="6"/>
    </row>
    <row r="321" spans="8:13" s="8" customFormat="1" x14ac:dyDescent="0.3">
      <c r="H321" s="5" t="s">
        <v>144</v>
      </c>
      <c r="I321" s="21"/>
      <c r="J321" s="13"/>
      <c r="L321" s="26">
        <f>Table134567810111213141516171819202122232425262728[[#This Row],[الدولار]]+(Table134567810111213141516171819202122232425262728[[#This Row],[اللبناني]]/90)</f>
        <v>0</v>
      </c>
      <c r="M321" s="6"/>
    </row>
    <row r="322" spans="8:13" s="8" customFormat="1" x14ac:dyDescent="0.3">
      <c r="H322" s="5" t="s">
        <v>144</v>
      </c>
      <c r="I322" s="21"/>
      <c r="J322" s="13"/>
      <c r="L322" s="26">
        <f>Table134567810111213141516171819202122232425262728[[#This Row],[الدولار]]+(Table134567810111213141516171819202122232425262728[[#This Row],[اللبناني]]/90)</f>
        <v>0</v>
      </c>
      <c r="M322" s="6"/>
    </row>
    <row r="323" spans="8:13" s="8" customFormat="1" x14ac:dyDescent="0.3">
      <c r="H323" s="5" t="s">
        <v>144</v>
      </c>
      <c r="I323" s="21"/>
      <c r="J323" s="13"/>
      <c r="L323" s="26">
        <f>Table134567810111213141516171819202122232425262728[[#This Row],[الدولار]]+(Table134567810111213141516171819202122232425262728[[#This Row],[اللبناني]]/90)</f>
        <v>0</v>
      </c>
      <c r="M323" s="6"/>
    </row>
    <row r="324" spans="8:13" s="8" customFormat="1" x14ac:dyDescent="0.3">
      <c r="H324" s="5" t="s">
        <v>144</v>
      </c>
      <c r="I324" s="21"/>
      <c r="J324" s="13"/>
      <c r="L324" s="26">
        <f>Table134567810111213141516171819202122232425262728[[#This Row],[الدولار]]+(Table134567810111213141516171819202122232425262728[[#This Row],[اللبناني]]/90)</f>
        <v>0</v>
      </c>
      <c r="M324" s="6"/>
    </row>
    <row r="325" spans="8:13" s="8" customFormat="1" x14ac:dyDescent="0.3">
      <c r="H325" s="5" t="s">
        <v>144</v>
      </c>
      <c r="I325" s="21"/>
      <c r="J325" s="13"/>
      <c r="L325" s="26">
        <f>Table134567810111213141516171819202122232425262728[[#This Row],[الدولار]]+(Table134567810111213141516171819202122232425262728[[#This Row],[اللبناني]]/90)</f>
        <v>0</v>
      </c>
      <c r="M325" s="6"/>
    </row>
    <row r="326" spans="8:13" s="8" customFormat="1" x14ac:dyDescent="0.3">
      <c r="H326" s="5" t="s">
        <v>144</v>
      </c>
      <c r="I326" s="21"/>
      <c r="J326" s="13"/>
      <c r="L326" s="26">
        <f>Table134567810111213141516171819202122232425262728[[#This Row],[الدولار]]+(Table134567810111213141516171819202122232425262728[[#This Row],[اللبناني]]/90)</f>
        <v>0</v>
      </c>
      <c r="M326" s="6"/>
    </row>
    <row r="327" spans="8:13" s="8" customFormat="1" x14ac:dyDescent="0.3">
      <c r="H327" s="5" t="s">
        <v>144</v>
      </c>
      <c r="I327" s="21"/>
      <c r="J327" s="13"/>
      <c r="L327" s="26">
        <f>Table134567810111213141516171819202122232425262728[[#This Row],[الدولار]]+(Table134567810111213141516171819202122232425262728[[#This Row],[اللبناني]]/90)</f>
        <v>0</v>
      </c>
      <c r="M327" s="6"/>
    </row>
    <row r="328" spans="8:13" s="8" customFormat="1" x14ac:dyDescent="0.3">
      <c r="H328" s="5" t="s">
        <v>144</v>
      </c>
      <c r="I328" s="21"/>
      <c r="J328" s="13"/>
      <c r="L328" s="26">
        <f>Table134567810111213141516171819202122232425262728[[#This Row],[الدولار]]+(Table134567810111213141516171819202122232425262728[[#This Row],[اللبناني]]/90)</f>
        <v>0</v>
      </c>
      <c r="M328" s="6"/>
    </row>
    <row r="329" spans="8:13" s="8" customFormat="1" x14ac:dyDescent="0.3">
      <c r="H329" s="5" t="s">
        <v>144</v>
      </c>
      <c r="I329" s="21"/>
      <c r="J329" s="13"/>
      <c r="L329" s="26">
        <f>Table134567810111213141516171819202122232425262728[[#This Row],[الدولار]]+(Table134567810111213141516171819202122232425262728[[#This Row],[اللبناني]]/90)</f>
        <v>0</v>
      </c>
      <c r="M329" s="6"/>
    </row>
    <row r="330" spans="8:13" s="8" customFormat="1" x14ac:dyDescent="0.3">
      <c r="H330" s="5" t="s">
        <v>144</v>
      </c>
      <c r="I330" s="21"/>
      <c r="J330" s="13"/>
      <c r="L330" s="26">
        <f>Table134567810111213141516171819202122232425262728[[#This Row],[الدولار]]+(Table134567810111213141516171819202122232425262728[[#This Row],[اللبناني]]/90)</f>
        <v>0</v>
      </c>
      <c r="M330" s="6"/>
    </row>
    <row r="331" spans="8:13" s="8" customFormat="1" x14ac:dyDescent="0.3">
      <c r="H331" s="5" t="s">
        <v>144</v>
      </c>
      <c r="I331" s="21"/>
      <c r="J331" s="13"/>
      <c r="L331" s="26">
        <f>Table134567810111213141516171819202122232425262728[[#This Row],[الدولار]]+(Table134567810111213141516171819202122232425262728[[#This Row],[اللبناني]]/90)</f>
        <v>0</v>
      </c>
      <c r="M331" s="6"/>
    </row>
    <row r="332" spans="8:13" s="8" customFormat="1" x14ac:dyDescent="0.3">
      <c r="H332" s="5" t="s">
        <v>144</v>
      </c>
      <c r="I332" s="21"/>
      <c r="J332" s="13"/>
      <c r="L332" s="26">
        <f>Table134567810111213141516171819202122232425262728[[#This Row],[الدولار]]+(Table134567810111213141516171819202122232425262728[[#This Row],[اللبناني]]/90)</f>
        <v>0</v>
      </c>
      <c r="M332" s="6"/>
    </row>
    <row r="333" spans="8:13" s="8" customFormat="1" x14ac:dyDescent="0.3">
      <c r="H333" s="5" t="s">
        <v>144</v>
      </c>
      <c r="I333" s="21"/>
      <c r="J333" s="13"/>
      <c r="L333" s="26">
        <f>Table134567810111213141516171819202122232425262728[[#This Row],[الدولار]]+(Table134567810111213141516171819202122232425262728[[#This Row],[اللبناني]]/90)</f>
        <v>0</v>
      </c>
      <c r="M333" s="6"/>
    </row>
    <row r="334" spans="8:13" s="8" customFormat="1" x14ac:dyDescent="0.3">
      <c r="H334" s="5" t="s">
        <v>144</v>
      </c>
      <c r="I334" s="21"/>
      <c r="J334" s="13"/>
      <c r="L334" s="26">
        <f>Table134567810111213141516171819202122232425262728[[#This Row],[الدولار]]+(Table134567810111213141516171819202122232425262728[[#This Row],[اللبناني]]/90)</f>
        <v>0</v>
      </c>
      <c r="M334" s="6"/>
    </row>
    <row r="335" spans="8:13" s="8" customFormat="1" x14ac:dyDescent="0.3">
      <c r="H335" s="5" t="s">
        <v>144</v>
      </c>
      <c r="I335" s="21"/>
      <c r="J335" s="13"/>
      <c r="L335" s="26">
        <f>Table134567810111213141516171819202122232425262728[[#This Row],[الدولار]]+(Table134567810111213141516171819202122232425262728[[#This Row],[اللبناني]]/90)</f>
        <v>0</v>
      </c>
      <c r="M335" s="6"/>
    </row>
    <row r="336" spans="8:13" s="8" customFormat="1" x14ac:dyDescent="0.3">
      <c r="H336" s="5" t="s">
        <v>144</v>
      </c>
      <c r="I336" s="21"/>
      <c r="J336" s="13"/>
      <c r="L336" s="26">
        <f>Table134567810111213141516171819202122232425262728[[#This Row],[الدولار]]+(Table134567810111213141516171819202122232425262728[[#This Row],[اللبناني]]/90)</f>
        <v>0</v>
      </c>
      <c r="M336" s="6"/>
    </row>
    <row r="337" spans="8:13" s="8" customFormat="1" x14ac:dyDescent="0.3">
      <c r="H337" s="5" t="s">
        <v>144</v>
      </c>
      <c r="I337" s="21"/>
      <c r="J337" s="13"/>
      <c r="L337" s="26">
        <f>Table134567810111213141516171819202122232425262728[[#This Row],[الدولار]]+(Table134567810111213141516171819202122232425262728[[#This Row],[اللبناني]]/90)</f>
        <v>0</v>
      </c>
      <c r="M337" s="6"/>
    </row>
    <row r="338" spans="8:13" s="8" customFormat="1" x14ac:dyDescent="0.3">
      <c r="H338" s="5" t="s">
        <v>144</v>
      </c>
      <c r="I338" s="21"/>
      <c r="J338" s="13"/>
      <c r="L338" s="26">
        <f>Table134567810111213141516171819202122232425262728[[#This Row],[الدولار]]+(Table134567810111213141516171819202122232425262728[[#This Row],[اللبناني]]/90)</f>
        <v>0</v>
      </c>
      <c r="M338" s="6"/>
    </row>
    <row r="339" spans="8:13" s="8" customFormat="1" x14ac:dyDescent="0.3">
      <c r="H339" s="5" t="s">
        <v>144</v>
      </c>
      <c r="I339" s="21"/>
      <c r="J339" s="13"/>
      <c r="L339" s="26">
        <f>Table134567810111213141516171819202122232425262728[[#This Row],[الدولار]]+(Table134567810111213141516171819202122232425262728[[#This Row],[اللبناني]]/90)</f>
        <v>0</v>
      </c>
      <c r="M339" s="6"/>
    </row>
    <row r="340" spans="8:13" s="8" customFormat="1" x14ac:dyDescent="0.3">
      <c r="H340" s="5" t="s">
        <v>144</v>
      </c>
      <c r="I340" s="21"/>
      <c r="J340" s="13"/>
      <c r="L340" s="26">
        <f>Table134567810111213141516171819202122232425262728[[#This Row],[الدولار]]+(Table134567810111213141516171819202122232425262728[[#This Row],[اللبناني]]/90)</f>
        <v>0</v>
      </c>
      <c r="M340" s="6"/>
    </row>
    <row r="341" spans="8:13" s="8" customFormat="1" x14ac:dyDescent="0.3">
      <c r="H341" s="5" t="s">
        <v>144</v>
      </c>
      <c r="I341" s="21"/>
      <c r="J341" s="13"/>
      <c r="L341" s="26">
        <f>Table134567810111213141516171819202122232425262728[[#This Row],[الدولار]]+(Table134567810111213141516171819202122232425262728[[#This Row],[اللبناني]]/90)</f>
        <v>0</v>
      </c>
      <c r="M341" s="6"/>
    </row>
    <row r="342" spans="8:13" s="8" customFormat="1" x14ac:dyDescent="0.3">
      <c r="H342" s="5" t="s">
        <v>144</v>
      </c>
      <c r="I342" s="21"/>
      <c r="J342" s="13"/>
      <c r="L342" s="26">
        <f>Table134567810111213141516171819202122232425262728[[#This Row],[الدولار]]+(Table134567810111213141516171819202122232425262728[[#This Row],[اللبناني]]/90)</f>
        <v>0</v>
      </c>
      <c r="M342" s="6"/>
    </row>
    <row r="343" spans="8:13" s="8" customFormat="1" x14ac:dyDescent="0.3">
      <c r="H343" s="5" t="s">
        <v>144</v>
      </c>
      <c r="I343" s="21"/>
      <c r="J343" s="13"/>
      <c r="L343" s="26">
        <f>Table134567810111213141516171819202122232425262728[[#This Row],[الدولار]]+(Table134567810111213141516171819202122232425262728[[#This Row],[اللبناني]]/90)</f>
        <v>0</v>
      </c>
      <c r="M343" s="6"/>
    </row>
    <row r="344" spans="8:13" s="8" customFormat="1" x14ac:dyDescent="0.3">
      <c r="H344" s="5" t="s">
        <v>144</v>
      </c>
      <c r="I344" s="21"/>
      <c r="J344" s="13"/>
      <c r="L344" s="26">
        <f>Table134567810111213141516171819202122232425262728[[#This Row],[الدولار]]+(Table134567810111213141516171819202122232425262728[[#This Row],[اللبناني]]/90)</f>
        <v>0</v>
      </c>
      <c r="M344" s="6"/>
    </row>
    <row r="345" spans="8:13" s="8" customFormat="1" x14ac:dyDescent="0.3">
      <c r="H345" s="5" t="s">
        <v>144</v>
      </c>
      <c r="I345" s="21"/>
      <c r="J345" s="13"/>
      <c r="L345" s="26">
        <f>Table134567810111213141516171819202122232425262728[[#This Row],[الدولار]]+(Table134567810111213141516171819202122232425262728[[#This Row],[اللبناني]]/90)</f>
        <v>0</v>
      </c>
      <c r="M345" s="6"/>
    </row>
    <row r="346" spans="8:13" s="8" customFormat="1" x14ac:dyDescent="0.3">
      <c r="H346" s="5" t="s">
        <v>144</v>
      </c>
      <c r="I346" s="21"/>
      <c r="J346" s="13"/>
      <c r="L346" s="26">
        <f>Table134567810111213141516171819202122232425262728[[#This Row],[الدولار]]+(Table134567810111213141516171819202122232425262728[[#This Row],[اللبناني]]/90)</f>
        <v>0</v>
      </c>
      <c r="M346" s="6"/>
    </row>
    <row r="347" spans="8:13" s="8" customFormat="1" x14ac:dyDescent="0.3">
      <c r="H347" s="5" t="s">
        <v>144</v>
      </c>
      <c r="I347" s="21"/>
      <c r="J347" s="13"/>
      <c r="L347" s="26">
        <f>Table134567810111213141516171819202122232425262728[[#This Row],[الدولار]]+(Table134567810111213141516171819202122232425262728[[#This Row],[اللبناني]]/90)</f>
        <v>0</v>
      </c>
      <c r="M347" s="6"/>
    </row>
    <row r="348" spans="8:13" s="8" customFormat="1" x14ac:dyDescent="0.3">
      <c r="H348" s="5" t="s">
        <v>144</v>
      </c>
      <c r="I348" s="21"/>
      <c r="J348" s="13"/>
      <c r="L348" s="26">
        <f>Table134567810111213141516171819202122232425262728[[#This Row],[الدولار]]+(Table134567810111213141516171819202122232425262728[[#This Row],[اللبناني]]/90)</f>
        <v>0</v>
      </c>
      <c r="M348" s="6"/>
    </row>
    <row r="349" spans="8:13" s="8" customFormat="1" x14ac:dyDescent="0.3">
      <c r="H349" s="5" t="s">
        <v>144</v>
      </c>
      <c r="I349" s="21"/>
      <c r="J349" s="13"/>
      <c r="L349" s="26">
        <f>Table134567810111213141516171819202122232425262728[[#This Row],[الدولار]]+(Table134567810111213141516171819202122232425262728[[#This Row],[اللبناني]]/90)</f>
        <v>0</v>
      </c>
      <c r="M349" s="6"/>
    </row>
    <row r="350" spans="8:13" s="8" customFormat="1" x14ac:dyDescent="0.3">
      <c r="H350" s="5" t="s">
        <v>144</v>
      </c>
      <c r="I350" s="21"/>
      <c r="J350" s="13"/>
      <c r="L350" s="26">
        <f>Table134567810111213141516171819202122232425262728[[#This Row],[الدولار]]+(Table134567810111213141516171819202122232425262728[[#This Row],[اللبناني]]/90)</f>
        <v>0</v>
      </c>
      <c r="M350" s="6"/>
    </row>
    <row r="351" spans="8:13" s="8" customFormat="1" x14ac:dyDescent="0.3">
      <c r="H351" s="5" t="s">
        <v>144</v>
      </c>
      <c r="I351" s="21"/>
      <c r="J351" s="13"/>
      <c r="L351" s="26">
        <f>Table134567810111213141516171819202122232425262728[[#This Row],[الدولار]]+(Table134567810111213141516171819202122232425262728[[#This Row],[اللبناني]]/90)</f>
        <v>0</v>
      </c>
      <c r="M351" s="6"/>
    </row>
    <row r="352" spans="8:13" s="8" customFormat="1" x14ac:dyDescent="0.3">
      <c r="H352" s="5" t="s">
        <v>144</v>
      </c>
      <c r="I352" s="21"/>
      <c r="J352" s="13"/>
      <c r="L352" s="26">
        <f>Table134567810111213141516171819202122232425262728[[#This Row],[الدولار]]+(Table134567810111213141516171819202122232425262728[[#This Row],[اللبناني]]/90)</f>
        <v>0</v>
      </c>
      <c r="M352" s="6"/>
    </row>
    <row r="353" spans="8:13" s="8" customFormat="1" x14ac:dyDescent="0.3">
      <c r="H353" s="5" t="s">
        <v>144</v>
      </c>
      <c r="I353" s="21"/>
      <c r="J353" s="13"/>
      <c r="L353" s="26">
        <f>Table134567810111213141516171819202122232425262728[[#This Row],[الدولار]]+(Table134567810111213141516171819202122232425262728[[#This Row],[اللبناني]]/90)</f>
        <v>0</v>
      </c>
      <c r="M353" s="6"/>
    </row>
    <row r="354" spans="8:13" s="8" customFormat="1" x14ac:dyDescent="0.3">
      <c r="H354" s="5" t="s">
        <v>144</v>
      </c>
      <c r="I354" s="21"/>
      <c r="J354" s="13"/>
      <c r="L354" s="26">
        <f>Table134567810111213141516171819202122232425262728[[#This Row],[الدولار]]+(Table134567810111213141516171819202122232425262728[[#This Row],[اللبناني]]/90)</f>
        <v>0</v>
      </c>
      <c r="M354" s="6"/>
    </row>
    <row r="355" spans="8:13" s="8" customFormat="1" x14ac:dyDescent="0.3">
      <c r="H355" s="5" t="s">
        <v>144</v>
      </c>
      <c r="I355" s="21"/>
      <c r="J355" s="13"/>
      <c r="L355" s="26">
        <f>Table134567810111213141516171819202122232425262728[[#This Row],[الدولار]]+(Table134567810111213141516171819202122232425262728[[#This Row],[اللبناني]]/90)</f>
        <v>0</v>
      </c>
      <c r="M355" s="6"/>
    </row>
    <row r="356" spans="8:13" s="8" customFormat="1" x14ac:dyDescent="0.3">
      <c r="H356" s="5" t="s">
        <v>144</v>
      </c>
      <c r="I356" s="21"/>
      <c r="J356" s="13"/>
      <c r="L356" s="26">
        <f>Table134567810111213141516171819202122232425262728[[#This Row],[الدولار]]+(Table134567810111213141516171819202122232425262728[[#This Row],[اللبناني]]/90)</f>
        <v>0</v>
      </c>
      <c r="M356" s="6"/>
    </row>
    <row r="357" spans="8:13" s="8" customFormat="1" x14ac:dyDescent="0.3">
      <c r="H357" s="5" t="s">
        <v>144</v>
      </c>
      <c r="I357" s="21"/>
      <c r="J357" s="13"/>
      <c r="L357" s="26">
        <f>Table134567810111213141516171819202122232425262728[[#This Row],[الدولار]]+(Table134567810111213141516171819202122232425262728[[#This Row],[اللبناني]]/90)</f>
        <v>0</v>
      </c>
      <c r="M357" s="6"/>
    </row>
    <row r="358" spans="8:13" s="8" customFormat="1" x14ac:dyDescent="0.3">
      <c r="H358" s="5" t="s">
        <v>144</v>
      </c>
      <c r="I358" s="21"/>
      <c r="J358" s="13"/>
      <c r="L358" s="26">
        <f>Table134567810111213141516171819202122232425262728[[#This Row],[الدولار]]+(Table134567810111213141516171819202122232425262728[[#This Row],[اللبناني]]/90)</f>
        <v>0</v>
      </c>
      <c r="M358" s="6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.3" footer="0.3"/>
  <pageSetup paperSize="9" scale="65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A74FA-9FAE-48E5-A640-5BDDF00165F7}">
  <sheetPr>
    <pageSetUpPr fitToPage="1"/>
  </sheetPr>
  <dimension ref="A1:S361"/>
  <sheetViews>
    <sheetView rightToLeft="1" topLeftCell="A104" zoomScale="115" zoomScaleNormal="115" workbookViewId="0">
      <selection activeCell="J53" sqref="J53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8.44140625" style="2" bestFit="1" customWidth="1"/>
    <col min="4" max="4" width="10.44140625" style="2" customWidth="1"/>
    <col min="5" max="5" width="7" style="2" customWidth="1"/>
    <col min="6" max="6" width="11.44140625" style="2" bestFit="1" customWidth="1"/>
    <col min="7" max="7" width="2.44140625" style="2" customWidth="1"/>
    <col min="8" max="8" width="8.88671875" style="2" bestFit="1" customWidth="1"/>
    <col min="9" max="9" width="17.88671875" style="21" customWidth="1"/>
    <col min="10" max="10" width="12.109375" style="7" bestFit="1" customWidth="1"/>
    <col min="11" max="11" width="8.5546875" style="8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1.109375" style="2" bestFit="1" customWidth="1"/>
    <col min="20" max="16384" width="8.88671875" style="2"/>
  </cols>
  <sheetData>
    <row r="1" spans="1:19" x14ac:dyDescent="0.3">
      <c r="I1" s="21" t="s">
        <v>22</v>
      </c>
      <c r="J1" s="7">
        <f>SUM(J3:J18)</f>
        <v>-7720</v>
      </c>
      <c r="K1" s="7">
        <f>SUM(K3:K18)</f>
        <v>-2625</v>
      </c>
      <c r="L1" s="7">
        <f>SUM(L3:L18)</f>
        <v>-2710.7777777777778</v>
      </c>
    </row>
    <row r="2" spans="1:19" x14ac:dyDescent="0.3">
      <c r="H2" s="2" t="s">
        <v>136</v>
      </c>
      <c r="I2" s="22" t="s">
        <v>6</v>
      </c>
      <c r="J2" s="3" t="s">
        <v>5</v>
      </c>
      <c r="K2" s="9" t="s">
        <v>4</v>
      </c>
      <c r="L2" s="9" t="s">
        <v>125</v>
      </c>
    </row>
    <row r="3" spans="1:19" x14ac:dyDescent="0.3">
      <c r="H3" s="5" t="s">
        <v>146</v>
      </c>
      <c r="I3" s="23"/>
      <c r="J3" s="15">
        <v>-10000</v>
      </c>
      <c r="K3" s="8">
        <v>-2700</v>
      </c>
      <c r="L3" s="26">
        <f t="shared" ref="L3:L18" si="0">K3+(J3/90)</f>
        <v>-2811.1111111111113</v>
      </c>
    </row>
    <row r="4" spans="1:19" x14ac:dyDescent="0.3">
      <c r="H4" s="5" t="s">
        <v>144</v>
      </c>
      <c r="I4" s="23"/>
      <c r="J4" s="15"/>
      <c r="K4" s="8">
        <v>1</v>
      </c>
      <c r="L4" s="26">
        <f t="shared" si="0"/>
        <v>1</v>
      </c>
    </row>
    <row r="5" spans="1:19" x14ac:dyDescent="0.3">
      <c r="H5" s="5" t="s">
        <v>144</v>
      </c>
      <c r="I5" s="23"/>
      <c r="J5" s="15">
        <v>220</v>
      </c>
      <c r="L5" s="26">
        <f t="shared" si="0"/>
        <v>2.4444444444444446</v>
      </c>
    </row>
    <row r="6" spans="1:19" x14ac:dyDescent="0.3">
      <c r="H6" s="5" t="s">
        <v>144</v>
      </c>
      <c r="I6" s="23"/>
      <c r="J6" s="15">
        <v>600</v>
      </c>
      <c r="L6" s="26">
        <f t="shared" si="0"/>
        <v>6.666666666666667</v>
      </c>
    </row>
    <row r="7" spans="1:19" x14ac:dyDescent="0.3">
      <c r="H7" s="5" t="s">
        <v>144</v>
      </c>
      <c r="I7" s="23"/>
      <c r="J7" s="15">
        <v>70</v>
      </c>
      <c r="L7" s="26">
        <f t="shared" si="0"/>
        <v>0.77777777777777779</v>
      </c>
    </row>
    <row r="8" spans="1:19" x14ac:dyDescent="0.3">
      <c r="H8" s="5" t="s">
        <v>144</v>
      </c>
      <c r="I8" s="23"/>
      <c r="J8" s="15"/>
      <c r="K8" s="8">
        <v>30</v>
      </c>
      <c r="L8" s="26">
        <f t="shared" si="0"/>
        <v>30</v>
      </c>
    </row>
    <row r="9" spans="1:19" x14ac:dyDescent="0.3">
      <c r="H9" s="5" t="s">
        <v>144</v>
      </c>
      <c r="I9" s="23"/>
      <c r="J9" s="15"/>
      <c r="K9" s="8">
        <v>4</v>
      </c>
      <c r="L9" s="26">
        <f t="shared" si="0"/>
        <v>4</v>
      </c>
    </row>
    <row r="10" spans="1:19" x14ac:dyDescent="0.3">
      <c r="H10" s="5" t="s">
        <v>144</v>
      </c>
      <c r="I10" s="23"/>
      <c r="J10" s="15"/>
      <c r="K10" s="8">
        <v>10</v>
      </c>
      <c r="L10" s="26">
        <f t="shared" si="0"/>
        <v>10</v>
      </c>
    </row>
    <row r="11" spans="1:19" s="6" customFormat="1" x14ac:dyDescent="0.3">
      <c r="A11" s="2"/>
      <c r="B11" s="2"/>
      <c r="C11" s="2"/>
      <c r="D11" s="2"/>
      <c r="E11" s="2"/>
      <c r="F11" s="2"/>
      <c r="G11" s="2"/>
      <c r="H11" s="5" t="s">
        <v>144</v>
      </c>
      <c r="I11" s="24"/>
      <c r="J11" s="15">
        <v>-350</v>
      </c>
      <c r="K11" s="8"/>
      <c r="L11" s="26">
        <f t="shared" si="0"/>
        <v>-3.8888888888888888</v>
      </c>
      <c r="N11" s="2"/>
      <c r="O11" s="2"/>
      <c r="P11" s="2"/>
      <c r="Q11" s="2"/>
      <c r="R11" s="2"/>
      <c r="S11" s="2"/>
    </row>
    <row r="12" spans="1:19" s="6" customFormat="1" x14ac:dyDescent="0.3">
      <c r="A12" s="2"/>
      <c r="B12" s="2"/>
      <c r="C12" s="2"/>
      <c r="D12" s="2"/>
      <c r="E12" s="2"/>
      <c r="F12" s="2"/>
      <c r="G12" s="2"/>
      <c r="H12" s="5" t="s">
        <v>144</v>
      </c>
      <c r="I12" s="23"/>
      <c r="J12" s="15">
        <v>50</v>
      </c>
      <c r="K12" s="8"/>
      <c r="L12" s="26">
        <f t="shared" ref="L12:L14" si="1">K12+(J12/90)</f>
        <v>0.55555555555555558</v>
      </c>
      <c r="N12" s="2"/>
      <c r="O12" s="2"/>
      <c r="P12" s="2"/>
      <c r="Q12" s="2"/>
      <c r="R12" s="2"/>
      <c r="S12" s="2"/>
    </row>
    <row r="13" spans="1:19" s="6" customFormat="1" x14ac:dyDescent="0.3">
      <c r="A13" s="2"/>
      <c r="B13" s="2"/>
      <c r="C13" s="2"/>
      <c r="D13" s="2"/>
      <c r="E13" s="2"/>
      <c r="F13" s="2"/>
      <c r="G13" s="2"/>
      <c r="H13" s="5" t="s">
        <v>144</v>
      </c>
      <c r="I13" s="23"/>
      <c r="J13" s="15"/>
      <c r="K13" s="8">
        <v>30</v>
      </c>
      <c r="L13" s="26">
        <f t="shared" si="1"/>
        <v>30</v>
      </c>
      <c r="N13" s="2"/>
      <c r="O13" s="2"/>
      <c r="P13" s="2"/>
      <c r="Q13" s="2"/>
      <c r="R13" s="2"/>
      <c r="S13" s="2"/>
    </row>
    <row r="14" spans="1:19" s="6" customFormat="1" x14ac:dyDescent="0.3">
      <c r="A14" s="2"/>
      <c r="B14" s="2"/>
      <c r="C14" s="2"/>
      <c r="D14" s="2"/>
      <c r="E14" s="2"/>
      <c r="F14" s="2"/>
      <c r="G14" s="2"/>
      <c r="H14" s="5" t="s">
        <v>144</v>
      </c>
      <c r="I14" s="23"/>
      <c r="J14" s="15">
        <v>-350</v>
      </c>
      <c r="K14" s="8"/>
      <c r="L14" s="26">
        <f t="shared" si="1"/>
        <v>-3.8888888888888888</v>
      </c>
      <c r="N14" s="2"/>
      <c r="O14" s="2"/>
      <c r="P14" s="2"/>
      <c r="Q14" s="2"/>
      <c r="R14" s="2"/>
      <c r="S14" s="2"/>
    </row>
    <row r="15" spans="1:19" s="6" customFormat="1" x14ac:dyDescent="0.3">
      <c r="A15" s="2"/>
      <c r="B15" s="2"/>
      <c r="C15" s="2"/>
      <c r="D15" s="2"/>
      <c r="E15" s="2"/>
      <c r="F15" s="2"/>
      <c r="G15" s="2"/>
      <c r="H15" s="5" t="s">
        <v>144</v>
      </c>
      <c r="I15" s="23"/>
      <c r="J15" s="15">
        <v>300</v>
      </c>
      <c r="K15" s="8"/>
      <c r="L15" s="26">
        <f t="shared" si="0"/>
        <v>3.3333333333333335</v>
      </c>
      <c r="N15" s="2"/>
      <c r="O15" s="2"/>
      <c r="P15" s="2"/>
      <c r="Q15" s="2"/>
      <c r="R15" s="2"/>
      <c r="S15" s="2"/>
    </row>
    <row r="16" spans="1:19" s="6" customFormat="1" x14ac:dyDescent="0.3">
      <c r="A16" s="2"/>
      <c r="B16" s="2"/>
      <c r="C16" s="2"/>
      <c r="D16" s="2"/>
      <c r="E16" s="2"/>
      <c r="F16" s="2"/>
      <c r="G16" s="2"/>
      <c r="H16" s="5" t="s">
        <v>144</v>
      </c>
      <c r="I16" s="23"/>
      <c r="J16" s="15">
        <v>600</v>
      </c>
      <c r="K16" s="8"/>
      <c r="L16" s="26">
        <f t="shared" si="0"/>
        <v>6.666666666666667</v>
      </c>
      <c r="N16" s="2"/>
      <c r="O16" s="2"/>
      <c r="P16" s="2"/>
      <c r="Q16" s="2"/>
      <c r="R16" s="2"/>
      <c r="S16" s="2"/>
    </row>
    <row r="17" spans="1:19" s="6" customFormat="1" x14ac:dyDescent="0.3">
      <c r="A17" s="2"/>
      <c r="B17" s="2"/>
      <c r="C17" s="2"/>
      <c r="D17" s="2"/>
      <c r="E17" s="2"/>
      <c r="F17" s="2"/>
      <c r="G17" s="2"/>
      <c r="H17" s="5" t="s">
        <v>144</v>
      </c>
      <c r="I17" s="23" t="s">
        <v>62</v>
      </c>
      <c r="J17" s="15">
        <v>1140</v>
      </c>
      <c r="K17" s="8"/>
      <c r="L17" s="26">
        <f t="shared" si="0"/>
        <v>12.666666666666666</v>
      </c>
      <c r="N17" s="2"/>
      <c r="O17" s="2"/>
      <c r="P17" s="2"/>
      <c r="Q17" s="2"/>
      <c r="R17" s="2"/>
      <c r="S17" s="2"/>
    </row>
    <row r="18" spans="1:19" s="6" customFormat="1" x14ac:dyDescent="0.3">
      <c r="A18" s="2" t="s">
        <v>240</v>
      </c>
      <c r="B18" s="2"/>
      <c r="C18" s="2"/>
      <c r="D18" s="2"/>
      <c r="E18" s="2"/>
      <c r="F18" s="2"/>
      <c r="G18" s="2"/>
      <c r="H18" s="5" t="s">
        <v>144</v>
      </c>
      <c r="I18" s="23"/>
      <c r="J18" s="15"/>
      <c r="K18" s="8"/>
      <c r="L18" s="26">
        <f t="shared" si="0"/>
        <v>0</v>
      </c>
      <c r="N18" s="2"/>
      <c r="O18" s="2"/>
      <c r="P18" s="2"/>
      <c r="Q18" s="2"/>
      <c r="R18" s="2"/>
      <c r="S18" s="2"/>
    </row>
    <row r="19" spans="1:19" s="6" customFormat="1" x14ac:dyDescent="0.3">
      <c r="A19" s="31" t="s">
        <v>226</v>
      </c>
      <c r="B19" s="2"/>
      <c r="C19" s="2"/>
      <c r="D19" s="2"/>
      <c r="E19" s="2"/>
      <c r="F19" s="2"/>
      <c r="G19" s="2"/>
      <c r="H19" s="2"/>
      <c r="I19" s="21"/>
      <c r="J19" s="7"/>
      <c r="K19" s="8"/>
      <c r="N19" s="2"/>
      <c r="O19" s="2"/>
      <c r="P19" s="2"/>
      <c r="Q19" s="2"/>
      <c r="R19" s="2"/>
      <c r="S19" s="2"/>
    </row>
    <row r="20" spans="1:19" x14ac:dyDescent="0.3">
      <c r="A20" s="48" t="s">
        <v>19</v>
      </c>
      <c r="B20" s="48"/>
      <c r="C20" s="48"/>
      <c r="D20" s="48"/>
      <c r="E20" s="48"/>
      <c r="F20" s="48"/>
      <c r="I20" s="21" t="s">
        <v>22</v>
      </c>
      <c r="J20" s="7">
        <f>SUM(Table13456781011121314151617181920212223242526272830[اللبناني])</f>
        <v>1375</v>
      </c>
      <c r="K20" s="7">
        <f>SUM(Table13456781011121314151617181920212223242526272830[الدولار])</f>
        <v>5820</v>
      </c>
      <c r="L20" s="7">
        <f>SUM(Table13456781011121314151617181920212223242526272830[مبيع $])</f>
        <v>5835.2777777777801</v>
      </c>
      <c r="N20" s="48" t="s">
        <v>21</v>
      </c>
      <c r="O20" s="48"/>
      <c r="P20" s="48"/>
      <c r="Q20" s="48"/>
      <c r="R20" s="48"/>
      <c r="S20" s="48"/>
    </row>
    <row r="21" spans="1:19" x14ac:dyDescent="0.3">
      <c r="A21" s="1" t="s">
        <v>2</v>
      </c>
      <c r="B21" s="1" t="s">
        <v>0</v>
      </c>
      <c r="C21" s="1" t="s">
        <v>1</v>
      </c>
      <c r="D21" s="1" t="s">
        <v>3</v>
      </c>
      <c r="E21" s="1" t="s">
        <v>0</v>
      </c>
      <c r="F21" s="1" t="s">
        <v>1</v>
      </c>
      <c r="H21" s="2" t="s">
        <v>136</v>
      </c>
      <c r="I21" s="22" t="s">
        <v>6</v>
      </c>
      <c r="J21" s="3" t="s">
        <v>5</v>
      </c>
      <c r="K21" s="9" t="s">
        <v>4</v>
      </c>
      <c r="L21" s="9" t="s">
        <v>125</v>
      </c>
      <c r="M21" s="2"/>
      <c r="N21" s="1" t="s">
        <v>2</v>
      </c>
      <c r="O21" s="1" t="s">
        <v>0</v>
      </c>
      <c r="P21" s="1" t="s">
        <v>1</v>
      </c>
      <c r="Q21" s="1" t="s">
        <v>3</v>
      </c>
      <c r="R21" s="1" t="s">
        <v>0</v>
      </c>
      <c r="S21" s="1" t="s">
        <v>1</v>
      </c>
    </row>
    <row r="22" spans="1:19" x14ac:dyDescent="0.3">
      <c r="A22" s="11">
        <v>1</v>
      </c>
      <c r="B22" s="2">
        <v>9</v>
      </c>
      <c r="C22" s="16">
        <f>A22*B22</f>
        <v>9</v>
      </c>
      <c r="D22" s="12">
        <v>5</v>
      </c>
      <c r="E22" s="2">
        <v>31</v>
      </c>
      <c r="F22" s="18">
        <f>D22*E22</f>
        <v>155</v>
      </c>
      <c r="G22" s="5"/>
      <c r="H22" s="5" t="s">
        <v>144</v>
      </c>
      <c r="I22" s="23"/>
      <c r="J22" s="15">
        <v>300</v>
      </c>
      <c r="L22" s="26">
        <f>Table13456781011121314151617181920212223242526272830[[#This Row],[الدولار]]+(Table13456781011121314151617181920212223242526272830[[#This Row],[اللبناني]]/90)</f>
        <v>3.3333333333333335</v>
      </c>
      <c r="N22" s="11">
        <v>1</v>
      </c>
      <c r="O22" s="2">
        <v>15</v>
      </c>
      <c r="P22" s="16">
        <f>N22*O22</f>
        <v>15</v>
      </c>
      <c r="Q22" s="12">
        <v>5</v>
      </c>
      <c r="R22" s="2">
        <v>36</v>
      </c>
      <c r="S22" s="18">
        <f>Q22*R22</f>
        <v>180</v>
      </c>
    </row>
    <row r="23" spans="1:19" x14ac:dyDescent="0.3">
      <c r="A23" s="11">
        <v>5</v>
      </c>
      <c r="B23" s="2">
        <v>6</v>
      </c>
      <c r="C23" s="16">
        <f t="shared" ref="C23:C27" si="2">A23*B23</f>
        <v>30</v>
      </c>
      <c r="D23" s="12">
        <v>10</v>
      </c>
      <c r="E23" s="2">
        <v>18</v>
      </c>
      <c r="F23" s="18">
        <f t="shared" ref="F23:F26" si="3">D23*E23</f>
        <v>180</v>
      </c>
      <c r="G23" s="5"/>
      <c r="H23" s="5" t="s">
        <v>144</v>
      </c>
      <c r="I23" s="23" t="s">
        <v>73</v>
      </c>
      <c r="J23" s="15">
        <v>-850</v>
      </c>
      <c r="K23" s="8">
        <v>20</v>
      </c>
      <c r="L23" s="26">
        <f>Table13456781011121314151617181920212223242526272830[[#This Row],[الدولار]]+(Table13456781011121314151617181920212223242526272830[[#This Row],[اللبناني]]/90)</f>
        <v>10.555555555555555</v>
      </c>
      <c r="N23" s="11">
        <v>5</v>
      </c>
      <c r="O23" s="2">
        <v>0</v>
      </c>
      <c r="P23" s="16">
        <f t="shared" ref="P23:P27" si="4">N23*O23</f>
        <v>0</v>
      </c>
      <c r="Q23" s="12">
        <v>10</v>
      </c>
      <c r="R23" s="2">
        <v>22</v>
      </c>
      <c r="S23" s="18">
        <f t="shared" ref="S23:S26" si="5">Q23*R23</f>
        <v>220</v>
      </c>
    </row>
    <row r="24" spans="1:19" x14ac:dyDescent="0.3">
      <c r="A24" s="11">
        <v>10</v>
      </c>
      <c r="B24" s="2">
        <v>38</v>
      </c>
      <c r="C24" s="16">
        <f t="shared" si="2"/>
        <v>380</v>
      </c>
      <c r="D24" s="12">
        <v>20</v>
      </c>
      <c r="E24" s="2">
        <v>24</v>
      </c>
      <c r="F24" s="18">
        <f t="shared" si="3"/>
        <v>480</v>
      </c>
      <c r="G24" s="5"/>
      <c r="H24" s="5" t="s">
        <v>144</v>
      </c>
      <c r="I24" s="23" t="s">
        <v>228</v>
      </c>
      <c r="J24" s="15"/>
      <c r="K24" s="8">
        <v>35</v>
      </c>
      <c r="L24" s="26">
        <f>Table13456781011121314151617181920212223242526272830[[#This Row],[الدولار]]+(Table13456781011121314151617181920212223242526272830[[#This Row],[اللبناني]]/90)</f>
        <v>35</v>
      </c>
      <c r="N24" s="11">
        <v>10</v>
      </c>
      <c r="O24" s="2">
        <v>24</v>
      </c>
      <c r="P24" s="16">
        <f t="shared" si="4"/>
        <v>240</v>
      </c>
      <c r="Q24" s="12">
        <v>20</v>
      </c>
      <c r="R24" s="2">
        <v>22</v>
      </c>
      <c r="S24" s="18">
        <f t="shared" si="5"/>
        <v>440</v>
      </c>
    </row>
    <row r="25" spans="1:19" x14ac:dyDescent="0.3">
      <c r="A25" s="11">
        <v>20</v>
      </c>
      <c r="B25" s="2">
        <v>29</v>
      </c>
      <c r="C25" s="16">
        <f t="shared" si="2"/>
        <v>580</v>
      </c>
      <c r="D25" s="12">
        <v>50</v>
      </c>
      <c r="E25" s="2">
        <v>10</v>
      </c>
      <c r="F25" s="18">
        <f t="shared" si="3"/>
        <v>500</v>
      </c>
      <c r="G25" s="5"/>
      <c r="H25" s="5" t="s">
        <v>144</v>
      </c>
      <c r="I25" s="23" t="s">
        <v>229</v>
      </c>
      <c r="J25" s="15">
        <v>360</v>
      </c>
      <c r="L25" s="26">
        <f>Table13456781011121314151617181920212223242526272830[[#This Row],[الدولار]]+(Table13456781011121314151617181920212223242526272830[[#This Row],[اللبناني]]/90)</f>
        <v>4</v>
      </c>
      <c r="N25" s="11">
        <v>20</v>
      </c>
      <c r="O25" s="2">
        <v>27</v>
      </c>
      <c r="P25" s="16">
        <f t="shared" si="4"/>
        <v>540</v>
      </c>
      <c r="Q25" s="12">
        <v>50</v>
      </c>
      <c r="R25" s="2">
        <v>11</v>
      </c>
      <c r="S25" s="18">
        <f t="shared" si="5"/>
        <v>550</v>
      </c>
    </row>
    <row r="26" spans="1:19" x14ac:dyDescent="0.3">
      <c r="A26" s="11">
        <v>50</v>
      </c>
      <c r="B26" s="2">
        <v>1</v>
      </c>
      <c r="C26" s="16">
        <f t="shared" si="2"/>
        <v>50</v>
      </c>
      <c r="D26" s="12">
        <v>100</v>
      </c>
      <c r="E26" s="2">
        <v>49</v>
      </c>
      <c r="F26" s="18">
        <f t="shared" si="3"/>
        <v>4900</v>
      </c>
      <c r="G26" s="5"/>
      <c r="H26" s="5" t="s">
        <v>144</v>
      </c>
      <c r="I26" s="24" t="s">
        <v>230</v>
      </c>
      <c r="J26" s="15"/>
      <c r="K26" s="8">
        <v>825</v>
      </c>
      <c r="L26" s="26">
        <f>Table13456781011121314151617181920212223242526272830[[#This Row],[الدولار]]+(Table13456781011121314151617181920212223242526272830[[#This Row],[اللبناني]]/90)</f>
        <v>825</v>
      </c>
      <c r="N26" s="11">
        <v>50</v>
      </c>
      <c r="O26" s="2">
        <v>9</v>
      </c>
      <c r="P26" s="16">
        <f t="shared" si="4"/>
        <v>450</v>
      </c>
      <c r="Q26" s="12">
        <v>100</v>
      </c>
      <c r="R26" s="2">
        <v>62</v>
      </c>
      <c r="S26" s="18">
        <f t="shared" si="5"/>
        <v>6200</v>
      </c>
    </row>
    <row r="27" spans="1:19" x14ac:dyDescent="0.3">
      <c r="A27" s="11">
        <v>100</v>
      </c>
      <c r="C27" s="16">
        <f t="shared" si="2"/>
        <v>0</v>
      </c>
      <c r="D27" s="1" t="s">
        <v>1</v>
      </c>
      <c r="E27" s="1"/>
      <c r="F27" s="14">
        <f>SUM(F22:F26)</f>
        <v>6215</v>
      </c>
      <c r="G27" s="5"/>
      <c r="H27" s="5" t="s">
        <v>146</v>
      </c>
      <c r="I27" s="23" t="s">
        <v>12</v>
      </c>
      <c r="J27" s="15"/>
      <c r="K27" s="8">
        <v>-825</v>
      </c>
      <c r="L27" s="26">
        <f>Table13456781011121314151617181920212223242526272830[[#This Row],[الدولار]]+(Table13456781011121314151617181920212223242526272830[[#This Row],[اللبناني]]/90)</f>
        <v>-825</v>
      </c>
      <c r="N27" s="11">
        <v>100</v>
      </c>
      <c r="O27" s="2">
        <v>56</v>
      </c>
      <c r="P27" s="16">
        <f t="shared" si="4"/>
        <v>5600</v>
      </c>
      <c r="Q27" s="1" t="s">
        <v>1</v>
      </c>
      <c r="R27" s="1"/>
      <c r="S27" s="14">
        <f>SUM(S22:S26)</f>
        <v>7590</v>
      </c>
    </row>
    <row r="28" spans="1:19" x14ac:dyDescent="0.3">
      <c r="A28" s="1" t="s">
        <v>1</v>
      </c>
      <c r="B28" s="1"/>
      <c r="C28" s="17">
        <f>SUM(C22:C27)</f>
        <v>1049</v>
      </c>
      <c r="H28" s="5" t="s">
        <v>144</v>
      </c>
      <c r="I28" s="23" t="s">
        <v>231</v>
      </c>
      <c r="J28" s="15"/>
      <c r="K28" s="8">
        <v>75</v>
      </c>
      <c r="L28" s="26">
        <f>Table13456781011121314151617181920212223242526272830[[#This Row],[الدولار]]+(Table13456781011121314151617181920212223242526272830[[#This Row],[اللبناني]]/90)</f>
        <v>75</v>
      </c>
      <c r="N28" s="1" t="s">
        <v>1</v>
      </c>
      <c r="O28" s="1"/>
      <c r="P28" s="17">
        <f>SUM(P22:P27)</f>
        <v>6845</v>
      </c>
      <c r="S28" s="15"/>
    </row>
    <row r="29" spans="1:19" x14ac:dyDescent="0.3">
      <c r="B29" s="2">
        <v>0</v>
      </c>
      <c r="C29" s="20"/>
      <c r="D29" s="47" t="s">
        <v>24</v>
      </c>
      <c r="E29" s="47"/>
      <c r="F29" s="19">
        <f ca="1">INDIRECT("'"&amp;$A$19&amp;"'!J17")+J1</f>
        <v>3045</v>
      </c>
      <c r="H29" s="5" t="s">
        <v>144</v>
      </c>
      <c r="I29" s="23" t="s">
        <v>61</v>
      </c>
      <c r="J29" s="15"/>
      <c r="K29" s="8">
        <v>119</v>
      </c>
      <c r="L29" s="26">
        <f>Table13456781011121314151617181920212223242526272830[[#This Row],[الدولار]]+(Table13456781011121314151617181920212223242526272830[[#This Row],[اللبناني]]/90)</f>
        <v>119</v>
      </c>
      <c r="P29" s="20"/>
      <c r="Q29" s="47" t="s">
        <v>24</v>
      </c>
      <c r="R29" s="47"/>
      <c r="S29" s="19">
        <f>SUM(Table13456781011121314151617181920212223242526272830[اللبناني])</f>
        <v>1375</v>
      </c>
    </row>
    <row r="30" spans="1:19" x14ac:dyDescent="0.3">
      <c r="A30" s="47" t="s">
        <v>23</v>
      </c>
      <c r="B30" s="47"/>
      <c r="C30" s="9">
        <f ca="1">INDIRECT("'"&amp;$A$19&amp;"'!K17")+K1</f>
        <v>-1212</v>
      </c>
      <c r="F30" s="15"/>
      <c r="H30" s="5" t="s">
        <v>144</v>
      </c>
      <c r="I30" s="23" t="s">
        <v>9</v>
      </c>
      <c r="J30" s="15">
        <v>100</v>
      </c>
      <c r="L30" s="26">
        <f>Table13456781011121314151617181920212223242526272830[[#This Row],[الدولار]]+(Table13456781011121314151617181920212223242526272830[[#This Row],[اللبناني]]/90)</f>
        <v>1.1111111111111112</v>
      </c>
      <c r="N30" s="47" t="s">
        <v>23</v>
      </c>
      <c r="O30" s="47"/>
      <c r="P30" s="9">
        <f>SUM(Table13456781011121314151617181920212223242526272830[الدولار])</f>
        <v>5820</v>
      </c>
      <c r="S30" s="15"/>
    </row>
    <row r="31" spans="1:19" x14ac:dyDescent="0.3">
      <c r="C31" s="20"/>
      <c r="D31" s="1" t="s">
        <v>17</v>
      </c>
      <c r="E31" s="1"/>
      <c r="F31" s="19">
        <f ca="1">F27-F29-INDIRECT("'"&amp;$A$19&amp;"'!f24")</f>
        <v>0</v>
      </c>
      <c r="H31" s="5" t="s">
        <v>144</v>
      </c>
      <c r="I31" s="23" t="s">
        <v>232</v>
      </c>
      <c r="J31" s="15"/>
      <c r="K31" s="8">
        <v>1</v>
      </c>
      <c r="L31" s="26">
        <f>Table13456781011121314151617181920212223242526272830[[#This Row],[الدولار]]+(Table13456781011121314151617181920212223242526272830[[#This Row],[اللبناني]]/90)</f>
        <v>1</v>
      </c>
      <c r="P31" s="20"/>
      <c r="Q31" s="1" t="s">
        <v>17</v>
      </c>
      <c r="R31" s="1"/>
      <c r="S31" s="19">
        <f>S27-S29-F27</f>
        <v>0</v>
      </c>
    </row>
    <row r="32" spans="1:19" x14ac:dyDescent="0.3">
      <c r="A32" s="1" t="s">
        <v>17</v>
      </c>
      <c r="B32" s="1"/>
      <c r="C32" s="9">
        <f ca="1">C28-C30-INDIRECT("'"&amp;$A$19&amp;"'!c25")</f>
        <v>0</v>
      </c>
      <c r="H32" s="5" t="s">
        <v>144</v>
      </c>
      <c r="I32" s="23" t="s">
        <v>233</v>
      </c>
      <c r="J32" s="15"/>
      <c r="K32" s="8">
        <v>4</v>
      </c>
      <c r="L32" s="26">
        <f>Table13456781011121314151617181920212223242526272830[[#This Row],[الدولار]]+(Table13456781011121314151617181920212223242526272830[[#This Row],[اللبناني]]/90)</f>
        <v>4</v>
      </c>
      <c r="N32" s="1" t="s">
        <v>17</v>
      </c>
      <c r="O32" s="1"/>
      <c r="P32" s="9">
        <f>P28-P30-C28</f>
        <v>-24</v>
      </c>
    </row>
    <row r="33" spans="3:13" x14ac:dyDescent="0.3">
      <c r="C33" s="10"/>
      <c r="D33" s="10"/>
      <c r="F33" s="10"/>
      <c r="H33" s="5" t="s">
        <v>144</v>
      </c>
      <c r="I33" s="25" t="s">
        <v>234</v>
      </c>
      <c r="J33" s="13"/>
      <c r="K33" s="8">
        <v>1</v>
      </c>
      <c r="L33" s="26">
        <f>Table13456781011121314151617181920212223242526272830[[#This Row],[الدولار]]+(Table13456781011121314151617181920212223242526272830[[#This Row],[اللبناني]]/90)</f>
        <v>1</v>
      </c>
    </row>
    <row r="34" spans="3:13" x14ac:dyDescent="0.3">
      <c r="C34" s="10"/>
      <c r="D34" s="10"/>
      <c r="F34" s="10"/>
      <c r="H34" s="5" t="s">
        <v>144</v>
      </c>
      <c r="I34" s="25" t="s">
        <v>234</v>
      </c>
      <c r="J34" s="13">
        <v>100</v>
      </c>
      <c r="L34" s="26">
        <f>Table13456781011121314151617181920212223242526272830[[#This Row],[الدولار]]+(Table13456781011121314151617181920212223242526272830[[#This Row],[اللبناني]]/90)</f>
        <v>1.1111111111111112</v>
      </c>
    </row>
    <row r="35" spans="3:13" x14ac:dyDescent="0.3">
      <c r="C35" s="10"/>
      <c r="D35" s="10"/>
      <c r="F35" s="10"/>
      <c r="H35" s="5" t="s">
        <v>144</v>
      </c>
      <c r="I35" s="23" t="s">
        <v>32</v>
      </c>
      <c r="J35" s="13">
        <v>50</v>
      </c>
      <c r="K35" s="8">
        <v>11</v>
      </c>
      <c r="L35" s="26">
        <f>Table13456781011121314151617181920212223242526272830[[#This Row],[الدولار]]+(Table13456781011121314151617181920212223242526272830[[#This Row],[اللبناني]]/90)</f>
        <v>11.555555555555555</v>
      </c>
    </row>
    <row r="36" spans="3:13" s="8" customFormat="1" x14ac:dyDescent="0.3">
      <c r="C36" s="10"/>
      <c r="D36" s="10"/>
      <c r="E36" s="2"/>
      <c r="F36" s="10"/>
      <c r="G36" s="2"/>
      <c r="H36" s="5" t="s">
        <v>144</v>
      </c>
      <c r="I36" s="25" t="s">
        <v>79</v>
      </c>
      <c r="J36" s="15">
        <v>35</v>
      </c>
      <c r="L36" s="26">
        <f>Table13456781011121314151617181920212223242526272830[[#This Row],[الدولار]]+(Table13456781011121314151617181920212223242526272830[[#This Row],[اللبناني]]/90)</f>
        <v>0.3888888888888889</v>
      </c>
      <c r="M36" s="6"/>
    </row>
    <row r="37" spans="3:13" s="8" customFormat="1" x14ac:dyDescent="0.3">
      <c r="C37" s="10"/>
      <c r="D37" s="2"/>
      <c r="E37" s="2"/>
      <c r="F37" s="10"/>
      <c r="G37" s="2"/>
      <c r="H37" s="5" t="s">
        <v>144</v>
      </c>
      <c r="I37" s="25" t="s">
        <v>235</v>
      </c>
      <c r="J37" s="15"/>
      <c r="K37" s="8">
        <v>21</v>
      </c>
      <c r="L37" s="26">
        <f>Table13456781011121314151617181920212223242526272830[[#This Row],[الدولار]]+(Table13456781011121314151617181920212223242526272830[[#This Row],[اللبناني]]/90)</f>
        <v>21</v>
      </c>
      <c r="M37" s="6"/>
    </row>
    <row r="38" spans="3:13" s="8" customFormat="1" x14ac:dyDescent="0.3">
      <c r="C38" s="10"/>
      <c r="D38" s="2"/>
      <c r="E38" s="2"/>
      <c r="F38" s="2"/>
      <c r="G38" s="2"/>
      <c r="H38" s="5" t="s">
        <v>144</v>
      </c>
      <c r="I38" s="25" t="s">
        <v>52</v>
      </c>
      <c r="J38" s="15">
        <v>200</v>
      </c>
      <c r="L38" s="26">
        <f>Table13456781011121314151617181920212223242526272830[[#This Row],[الدولار]]+(Table13456781011121314151617181920212223242526272830[[#This Row],[اللبناني]]/90)</f>
        <v>2.2222222222222223</v>
      </c>
      <c r="M38" s="6"/>
    </row>
    <row r="39" spans="3:13" s="8" customFormat="1" x14ac:dyDescent="0.3">
      <c r="C39" s="2"/>
      <c r="D39" s="2"/>
      <c r="E39" s="2"/>
      <c r="F39" s="6"/>
      <c r="G39" s="2"/>
      <c r="H39" s="5" t="s">
        <v>144</v>
      </c>
      <c r="I39" s="23" t="s">
        <v>236</v>
      </c>
      <c r="J39" s="15"/>
      <c r="K39" s="8">
        <v>100</v>
      </c>
      <c r="L39" s="26">
        <f>Table13456781011121314151617181920212223242526272830[[#This Row],[الدولار]]+(Table13456781011121314151617181920212223242526272830[[#This Row],[اللبناني]]/90)</f>
        <v>100</v>
      </c>
      <c r="M39" s="6"/>
    </row>
    <row r="40" spans="3:13" s="8" customFormat="1" x14ac:dyDescent="0.3">
      <c r="C40" s="6"/>
      <c r="D40" s="2"/>
      <c r="E40" s="2"/>
      <c r="F40" s="2"/>
      <c r="G40" s="2"/>
      <c r="H40" s="5" t="s">
        <v>144</v>
      </c>
      <c r="I40" s="23" t="s">
        <v>237</v>
      </c>
      <c r="J40" s="15">
        <v>70</v>
      </c>
      <c r="L40" s="26">
        <f>Table13456781011121314151617181920212223242526272830[[#This Row],[الدولار]]+(Table13456781011121314151617181920212223242526272830[[#This Row],[اللبناني]]/90)</f>
        <v>0.77777777777777779</v>
      </c>
      <c r="M40" s="6"/>
    </row>
    <row r="41" spans="3:13" s="8" customFormat="1" x14ac:dyDescent="0.3">
      <c r="C41" s="2"/>
      <c r="D41" s="2"/>
      <c r="E41" s="2"/>
      <c r="F41" s="6"/>
      <c r="G41" s="2"/>
      <c r="H41" s="5" t="s">
        <v>144</v>
      </c>
      <c r="I41" s="23" t="s">
        <v>36</v>
      </c>
      <c r="J41" s="15"/>
      <c r="K41" s="8">
        <v>111</v>
      </c>
      <c r="L41" s="26">
        <f>Table13456781011121314151617181920212223242526272830[[#This Row],[الدولار]]+(Table13456781011121314151617181920212223242526272830[[#This Row],[اللبناني]]/90)</f>
        <v>111</v>
      </c>
      <c r="M41" s="6"/>
    </row>
    <row r="42" spans="3:13" s="8" customFormat="1" x14ac:dyDescent="0.3">
      <c r="C42" s="6"/>
      <c r="D42" s="2"/>
      <c r="E42" s="2"/>
      <c r="F42" s="2"/>
      <c r="G42" s="2"/>
      <c r="H42" s="5" t="s">
        <v>144</v>
      </c>
      <c r="I42" s="23" t="s">
        <v>239</v>
      </c>
      <c r="J42" s="15"/>
      <c r="K42" s="8">
        <v>-15</v>
      </c>
      <c r="L42" s="26">
        <f>Table13456781011121314151617181920212223242526272830[[#This Row],[الدولار]]+(Table13456781011121314151617181920212223242526272830[[#This Row],[اللبناني]]/90)</f>
        <v>-15</v>
      </c>
      <c r="M42" s="6"/>
    </row>
    <row r="43" spans="3:13" s="8" customFormat="1" x14ac:dyDescent="0.3">
      <c r="C43" s="2"/>
      <c r="D43" s="2"/>
      <c r="E43" s="2"/>
      <c r="F43" s="2"/>
      <c r="G43" s="2"/>
      <c r="H43" s="5" t="s">
        <v>144</v>
      </c>
      <c r="I43" s="23" t="s">
        <v>238</v>
      </c>
      <c r="J43" s="15">
        <v>300</v>
      </c>
      <c r="L43" s="26">
        <f>Table13456781011121314151617181920212223242526272830[[#This Row],[الدولار]]+(Table13456781011121314151617181920212223242526272830[[#This Row],[اللبناني]]/90)</f>
        <v>3.3333333333333335</v>
      </c>
      <c r="M43" s="6"/>
    </row>
    <row r="44" spans="3:13" s="8" customFormat="1" x14ac:dyDescent="0.3">
      <c r="C44" s="2"/>
      <c r="D44" s="2"/>
      <c r="E44" s="2"/>
      <c r="F44" s="2"/>
      <c r="G44" s="2"/>
      <c r="H44" s="5" t="s">
        <v>144</v>
      </c>
      <c r="I44" s="23" t="s">
        <v>18</v>
      </c>
      <c r="J44" s="15">
        <v>360</v>
      </c>
      <c r="L44" s="26">
        <f>Table13456781011121314151617181920212223242526272830[[#This Row],[الدولار]]+(Table13456781011121314151617181920212223242526272830[[#This Row],[اللبناني]]/90)</f>
        <v>4</v>
      </c>
      <c r="M44" s="6"/>
    </row>
    <row r="45" spans="3:13" s="8" customFormat="1" x14ac:dyDescent="0.3">
      <c r="C45" s="2"/>
      <c r="D45" s="2"/>
      <c r="E45" s="2"/>
      <c r="F45" s="2"/>
      <c r="G45" s="2"/>
      <c r="H45" s="5" t="s">
        <v>144</v>
      </c>
      <c r="I45" s="23" t="s">
        <v>89</v>
      </c>
      <c r="J45" s="15">
        <v>600</v>
      </c>
      <c r="L45" s="26">
        <f>Table13456781011121314151617181920212223242526272830[[#This Row],[الدولار]]+(Table13456781011121314151617181920212223242526272830[[#This Row],[اللبناني]]/90)</f>
        <v>6.666666666666667</v>
      </c>
      <c r="M45" s="6"/>
    </row>
    <row r="46" spans="3:13" s="8" customFormat="1" x14ac:dyDescent="0.3">
      <c r="C46" s="2"/>
      <c r="D46" s="2"/>
      <c r="E46" s="2"/>
      <c r="F46" s="2"/>
      <c r="G46" s="2"/>
      <c r="H46" s="5" t="s">
        <v>144</v>
      </c>
      <c r="I46" s="23" t="s">
        <v>241</v>
      </c>
      <c r="J46" s="13"/>
      <c r="K46" s="8">
        <v>50</v>
      </c>
      <c r="L46" s="26">
        <f>Table13456781011121314151617181920212223242526272830[[#This Row],[الدولار]]+(Table13456781011121314151617181920212223242526272830[[#This Row],[اللبناني]]/90)</f>
        <v>50</v>
      </c>
      <c r="M46" s="6"/>
    </row>
    <row r="47" spans="3:13" s="8" customFormat="1" x14ac:dyDescent="0.3">
      <c r="C47" s="2"/>
      <c r="D47" s="2"/>
      <c r="E47" s="2"/>
      <c r="F47" s="2"/>
      <c r="G47" s="2"/>
      <c r="H47" s="5" t="s">
        <v>144</v>
      </c>
      <c r="I47" s="21" t="s">
        <v>242</v>
      </c>
      <c r="J47" s="13"/>
      <c r="K47" s="8">
        <v>84</v>
      </c>
      <c r="L47" s="26">
        <f>Table13456781011121314151617181920212223242526272830[[#This Row],[الدولار]]+(Table13456781011121314151617181920212223242526272830[[#This Row],[اللبناني]]/90)</f>
        <v>84</v>
      </c>
      <c r="M47" s="6"/>
    </row>
    <row r="48" spans="3:13" s="8" customFormat="1" x14ac:dyDescent="0.3">
      <c r="C48" s="2"/>
      <c r="D48" s="2"/>
      <c r="E48" s="2"/>
      <c r="F48" s="2"/>
      <c r="G48" s="2"/>
      <c r="H48" s="5" t="s">
        <v>144</v>
      </c>
      <c r="I48" s="21" t="s">
        <v>10</v>
      </c>
      <c r="J48" s="13">
        <v>-650</v>
      </c>
      <c r="K48" s="8">
        <v>10</v>
      </c>
      <c r="L48" s="26">
        <f>Table13456781011121314151617181920212223242526272830[[#This Row],[الدولار]]+(Table13456781011121314151617181920212223242526272830[[#This Row],[اللبناني]]/90)</f>
        <v>2.7777777777777777</v>
      </c>
      <c r="M48" s="6"/>
    </row>
    <row r="49" spans="3:19" s="8" customFormat="1" x14ac:dyDescent="0.3">
      <c r="C49" s="2"/>
      <c r="D49" s="2"/>
      <c r="E49" s="2"/>
      <c r="F49" s="2"/>
      <c r="G49" s="2"/>
      <c r="H49" s="5" t="s">
        <v>144</v>
      </c>
      <c r="I49" s="21" t="s">
        <v>243</v>
      </c>
      <c r="J49" s="13"/>
      <c r="K49" s="8">
        <v>10</v>
      </c>
      <c r="L49" s="26">
        <f>Table13456781011121314151617181920212223242526272830[[#This Row],[الدولار]]+(Table13456781011121314151617181920212223242526272830[[#This Row],[اللبناني]]/90)</f>
        <v>10</v>
      </c>
      <c r="M49" s="6"/>
      <c r="S49" s="14"/>
    </row>
    <row r="50" spans="3:19" s="8" customFormat="1" x14ac:dyDescent="0.3">
      <c r="C50" s="2"/>
      <c r="D50" s="2"/>
      <c r="E50" s="2"/>
      <c r="F50" s="2"/>
      <c r="G50" s="2"/>
      <c r="H50" s="5" t="s">
        <v>146</v>
      </c>
      <c r="I50" s="21" t="s">
        <v>244</v>
      </c>
      <c r="J50" s="13"/>
      <c r="K50" s="8">
        <v>-60</v>
      </c>
      <c r="L50" s="26">
        <f>Table13456781011121314151617181920212223242526272830[[#This Row],[الدولار]]+(Table13456781011121314151617181920212223242526272830[[#This Row],[اللبناني]]/90)</f>
        <v>-60</v>
      </c>
      <c r="M50" s="6"/>
    </row>
    <row r="51" spans="3:19" s="8" customFormat="1" x14ac:dyDescent="0.3">
      <c r="C51" s="2"/>
      <c r="D51" s="2"/>
      <c r="E51" s="2"/>
      <c r="F51" s="2"/>
      <c r="G51" s="2"/>
      <c r="H51" s="5" t="s">
        <v>144</v>
      </c>
      <c r="I51" s="21" t="s">
        <v>245</v>
      </c>
      <c r="J51" s="13"/>
      <c r="K51" s="8">
        <v>12</v>
      </c>
      <c r="L51" s="26">
        <f>Table13456781011121314151617181920212223242526272830[[#This Row],[الدولار]]+(Table13456781011121314151617181920212223242526272830[[#This Row],[اللبناني]]/90)</f>
        <v>12</v>
      </c>
      <c r="M51" s="6"/>
    </row>
    <row r="52" spans="3:19" s="8" customFormat="1" x14ac:dyDescent="0.3">
      <c r="H52" s="5" t="s">
        <v>144</v>
      </c>
      <c r="I52" s="21" t="s">
        <v>246</v>
      </c>
      <c r="J52" s="13"/>
      <c r="K52" s="8">
        <v>-20</v>
      </c>
      <c r="L52" s="26">
        <f>Table13456781011121314151617181920212223242526272830[[#This Row],[الدولار]]+(Table13456781011121314151617181920212223242526272830[[#This Row],[اللبناني]]/90)</f>
        <v>-20</v>
      </c>
      <c r="M52" s="6"/>
    </row>
    <row r="53" spans="3:19" s="8" customFormat="1" x14ac:dyDescent="0.3">
      <c r="H53" s="5" t="s">
        <v>144</v>
      </c>
      <c r="I53" s="21" t="s">
        <v>56</v>
      </c>
      <c r="J53" s="13">
        <v>100</v>
      </c>
      <c r="L53" s="26">
        <f>Table13456781011121314151617181920212223242526272830[[#This Row],[الدولار]]+(Table13456781011121314151617181920212223242526272830[[#This Row],[اللبناني]]/90)</f>
        <v>1.1111111111111112</v>
      </c>
      <c r="M53" s="6"/>
    </row>
    <row r="54" spans="3:19" s="8" customFormat="1" x14ac:dyDescent="0.3">
      <c r="H54" s="5" t="s">
        <v>144</v>
      </c>
      <c r="I54" s="21" t="s">
        <v>247</v>
      </c>
      <c r="J54" s="13"/>
      <c r="K54" s="8">
        <v>35</v>
      </c>
      <c r="L54" s="26">
        <f>Table13456781011121314151617181920212223242526272830[[#This Row],[الدولار]]+(Table13456781011121314151617181920212223242526272830[[#This Row],[اللبناني]]/90)</f>
        <v>35</v>
      </c>
      <c r="M54" s="6"/>
    </row>
    <row r="55" spans="3:19" s="8" customFormat="1" x14ac:dyDescent="0.3">
      <c r="H55" s="5" t="s">
        <v>144</v>
      </c>
      <c r="I55" s="21" t="s">
        <v>178</v>
      </c>
      <c r="J55" s="13">
        <v>-750</v>
      </c>
      <c r="K55" s="8">
        <v>10</v>
      </c>
      <c r="L55" s="26">
        <f>Table13456781011121314151617181920212223242526272830[[#This Row],[الدولار]]+(Table13456781011121314151617181920212223242526272830[[#This Row],[اللبناني]]/90)</f>
        <v>1.6666666666666661</v>
      </c>
      <c r="M55" s="6"/>
    </row>
    <row r="56" spans="3:19" s="8" customFormat="1" x14ac:dyDescent="0.3">
      <c r="H56" s="5" t="s">
        <v>144</v>
      </c>
      <c r="I56" s="21" t="s">
        <v>81</v>
      </c>
      <c r="J56" s="13">
        <v>350</v>
      </c>
      <c r="K56" s="8">
        <v>30</v>
      </c>
      <c r="L56" s="26">
        <f>Table13456781011121314151617181920212223242526272830[[#This Row],[الدولار]]+(Table13456781011121314151617181920212223242526272830[[#This Row],[اللبناني]]/90)</f>
        <v>33.888888888888886</v>
      </c>
      <c r="M56" s="6"/>
    </row>
    <row r="57" spans="3:19" s="8" customFormat="1" x14ac:dyDescent="0.3">
      <c r="H57" s="5" t="s">
        <v>144</v>
      </c>
      <c r="I57" s="21" t="s">
        <v>248</v>
      </c>
      <c r="J57" s="13"/>
      <c r="K57" s="8">
        <v>24</v>
      </c>
      <c r="L57" s="26">
        <f>Table13456781011121314151617181920212223242526272830[[#This Row],[الدولار]]+(Table13456781011121314151617181920212223242526272830[[#This Row],[اللبناني]]/90)</f>
        <v>24</v>
      </c>
      <c r="M57" s="6"/>
    </row>
    <row r="58" spans="3:19" s="8" customFormat="1" x14ac:dyDescent="0.3">
      <c r="H58" s="5" t="s">
        <v>144</v>
      </c>
      <c r="I58" s="21" t="s">
        <v>45</v>
      </c>
      <c r="J58" s="13">
        <v>100</v>
      </c>
      <c r="L58" s="26">
        <f>Table13456781011121314151617181920212223242526272830[[#This Row],[الدولار]]+(Table13456781011121314151617181920212223242526272830[[#This Row],[اللبناني]]/90)</f>
        <v>1.1111111111111112</v>
      </c>
      <c r="M58" s="6"/>
    </row>
    <row r="59" spans="3:19" s="8" customFormat="1" x14ac:dyDescent="0.3">
      <c r="H59" s="5" t="s">
        <v>144</v>
      </c>
      <c r="I59" s="21" t="s">
        <v>249</v>
      </c>
      <c r="J59" s="13"/>
      <c r="K59" s="8">
        <v>20</v>
      </c>
      <c r="L59" s="26">
        <f>Table13456781011121314151617181920212223242526272830[[#This Row],[الدولار]]+(Table13456781011121314151617181920212223242526272830[[#This Row],[اللبناني]]/90)</f>
        <v>20</v>
      </c>
      <c r="M59" s="6"/>
    </row>
    <row r="60" spans="3:19" s="8" customFormat="1" x14ac:dyDescent="0.3">
      <c r="H60" s="5" t="s">
        <v>144</v>
      </c>
      <c r="I60" s="21"/>
      <c r="J60" s="13">
        <v>165</v>
      </c>
      <c r="L60" s="26">
        <f>Table13456781011121314151617181920212223242526272830[[#This Row],[الدولار]]+(Table13456781011121314151617181920212223242526272830[[#This Row],[اللبناني]]/90)</f>
        <v>1.8333333333333333</v>
      </c>
      <c r="M60" s="6"/>
    </row>
    <row r="61" spans="3:19" s="8" customFormat="1" x14ac:dyDescent="0.3">
      <c r="H61" s="5" t="s">
        <v>144</v>
      </c>
      <c r="I61" s="21"/>
      <c r="J61" s="13"/>
      <c r="K61" s="8">
        <v>10</v>
      </c>
      <c r="L61" s="26">
        <f>Table13456781011121314151617181920212223242526272830[[#This Row],[الدولار]]+(Table13456781011121314151617181920212223242526272830[[#This Row],[اللبناني]]/90)</f>
        <v>10</v>
      </c>
      <c r="M61" s="6"/>
    </row>
    <row r="62" spans="3:19" s="8" customFormat="1" x14ac:dyDescent="0.3">
      <c r="H62" s="5" t="s">
        <v>144</v>
      </c>
      <c r="I62" s="21"/>
      <c r="J62" s="13">
        <v>-225</v>
      </c>
      <c r="L62" s="26">
        <f>Table13456781011121314151617181920212223242526272830[[#This Row],[الدولار]]+(Table13456781011121314151617181920212223242526272830[[#This Row],[اللبناني]]/90)</f>
        <v>-2.5</v>
      </c>
      <c r="M62" s="6"/>
    </row>
    <row r="63" spans="3:19" s="8" customFormat="1" x14ac:dyDescent="0.3">
      <c r="H63" s="5" t="s">
        <v>144</v>
      </c>
      <c r="I63" s="21"/>
      <c r="J63" s="13"/>
      <c r="K63" s="8">
        <v>21</v>
      </c>
      <c r="L63" s="26">
        <f>Table13456781011121314151617181920212223242526272830[[#This Row],[الدولار]]+(Table13456781011121314151617181920212223242526272830[[#This Row],[اللبناني]]/90)</f>
        <v>21</v>
      </c>
      <c r="M63" s="6"/>
    </row>
    <row r="64" spans="3:19" s="8" customFormat="1" x14ac:dyDescent="0.3">
      <c r="H64" s="5" t="s">
        <v>144</v>
      </c>
      <c r="I64" s="21"/>
      <c r="J64" s="13">
        <v>300</v>
      </c>
      <c r="L64" s="26">
        <f>Table13456781011121314151617181920212223242526272830[[#This Row],[الدولار]]+(Table13456781011121314151617181920212223242526272830[[#This Row],[اللبناني]]/90)</f>
        <v>3.3333333333333335</v>
      </c>
      <c r="M64" s="6"/>
      <c r="P64" s="17"/>
      <c r="S64" s="14"/>
    </row>
    <row r="65" spans="4:13" s="8" customFormat="1" x14ac:dyDescent="0.3">
      <c r="D65" s="36"/>
      <c r="H65" s="5" t="s">
        <v>144</v>
      </c>
      <c r="I65" s="21"/>
      <c r="J65" s="32">
        <v>-470</v>
      </c>
      <c r="K65" s="33">
        <v>10</v>
      </c>
      <c r="L65" s="26">
        <f>Table13456781011121314151617181920212223242526272830[[#This Row],[الدولار]]+(Table13456781011121314151617181920212223242526272830[[#This Row],[اللبناني]]/90)</f>
        <v>4.7777777777777777</v>
      </c>
      <c r="M65" s="6"/>
    </row>
    <row r="66" spans="4:13" s="8" customFormat="1" x14ac:dyDescent="0.3">
      <c r="D66" s="36"/>
      <c r="H66" s="5" t="s">
        <v>144</v>
      </c>
      <c r="I66" s="21"/>
      <c r="J66" s="34"/>
      <c r="K66" s="35">
        <v>5</v>
      </c>
      <c r="L66" s="26">
        <f>Table13456781011121314151617181920212223242526272830[[#This Row],[الدولار]]+(Table13456781011121314151617181920212223242526272830[[#This Row],[اللبناني]]/90)</f>
        <v>5</v>
      </c>
      <c r="M66" s="6"/>
    </row>
    <row r="67" spans="4:13" s="8" customFormat="1" x14ac:dyDescent="0.3">
      <c r="D67" s="36"/>
      <c r="H67" s="5" t="s">
        <v>144</v>
      </c>
      <c r="I67" s="21"/>
      <c r="J67" s="32">
        <v>-100</v>
      </c>
      <c r="K67" s="33"/>
      <c r="L67" s="26">
        <f>Table13456781011121314151617181920212223242526272830[[#This Row],[الدولار]]+(Table13456781011121314151617181920212223242526272830[[#This Row],[اللبناني]]/90)</f>
        <v>-1.1111111111111112</v>
      </c>
      <c r="M67" s="6"/>
    </row>
    <row r="68" spans="4:13" s="8" customFormat="1" x14ac:dyDescent="0.3">
      <c r="D68" s="36"/>
      <c r="H68" s="5" t="s">
        <v>145</v>
      </c>
      <c r="I68" s="21"/>
      <c r="J68" s="34">
        <v>-2000</v>
      </c>
      <c r="K68" s="35"/>
      <c r="L68" s="26">
        <f>Table13456781011121314151617181920212223242526272830[[#This Row],[الدولار]]+(Table13456781011121314151617181920212223242526272830[[#This Row],[اللبناني]]/90)</f>
        <v>-22.222222222222221</v>
      </c>
      <c r="M68" s="6"/>
    </row>
    <row r="69" spans="4:13" s="8" customFormat="1" x14ac:dyDescent="0.3">
      <c r="D69" s="36"/>
      <c r="H69" s="5" t="s">
        <v>144</v>
      </c>
      <c r="I69" s="21"/>
      <c r="J69" s="32"/>
      <c r="K69" s="33">
        <v>15</v>
      </c>
      <c r="L69" s="26">
        <f>Table13456781011121314151617181920212223242526272830[[#This Row],[الدولار]]+(Table13456781011121314151617181920212223242526272830[[#This Row],[اللبناني]]/90)</f>
        <v>15</v>
      </c>
      <c r="M69" s="6"/>
    </row>
    <row r="70" spans="4:13" s="8" customFormat="1" x14ac:dyDescent="0.3">
      <c r="H70" s="5" t="s">
        <v>144</v>
      </c>
      <c r="I70" s="21"/>
      <c r="J70" s="13">
        <v>-50</v>
      </c>
      <c r="L70" s="26">
        <f>Table13456781011121314151617181920212223242526272830[[#This Row],[الدولار]]+(Table13456781011121314151617181920212223242526272830[[#This Row],[اللبناني]]/90)</f>
        <v>-0.55555555555555558</v>
      </c>
      <c r="M70" s="6"/>
    </row>
    <row r="71" spans="4:13" s="8" customFormat="1" x14ac:dyDescent="0.3">
      <c r="H71" s="5" t="s">
        <v>144</v>
      </c>
      <c r="I71" s="21"/>
      <c r="J71" s="13">
        <v>500</v>
      </c>
      <c r="L71" s="26">
        <f>Table13456781011121314151617181920212223242526272830[[#This Row],[الدولار]]+(Table13456781011121314151617181920212223242526272830[[#This Row],[اللبناني]]/90)</f>
        <v>5.5555555555555554</v>
      </c>
      <c r="M71" s="6"/>
    </row>
    <row r="72" spans="4:13" s="8" customFormat="1" x14ac:dyDescent="0.3">
      <c r="H72" s="5" t="s">
        <v>144</v>
      </c>
      <c r="I72" s="21"/>
      <c r="J72" s="13"/>
      <c r="K72" s="8">
        <v>30</v>
      </c>
      <c r="L72" s="26">
        <f>Table13456781011121314151617181920212223242526272830[[#This Row],[الدولار]]+(Table13456781011121314151617181920212223242526272830[[#This Row],[اللبناني]]/90)</f>
        <v>30</v>
      </c>
      <c r="M72" s="6"/>
    </row>
    <row r="73" spans="4:13" s="8" customFormat="1" x14ac:dyDescent="0.3">
      <c r="H73" s="5" t="s">
        <v>144</v>
      </c>
      <c r="I73" s="21"/>
      <c r="J73" s="13">
        <v>-400</v>
      </c>
      <c r="L73" s="26">
        <f>Table13456781011121314151617181920212223242526272830[[#This Row],[الدولار]]+(Table13456781011121314151617181920212223242526272830[[#This Row],[اللبناني]]/90)</f>
        <v>-4.4444444444444446</v>
      </c>
      <c r="M73" s="6"/>
    </row>
    <row r="74" spans="4:13" s="8" customFormat="1" x14ac:dyDescent="0.3">
      <c r="H74" s="5" t="s">
        <v>144</v>
      </c>
      <c r="I74" s="21"/>
      <c r="J74" s="13">
        <v>100</v>
      </c>
      <c r="L74" s="26">
        <f>Table13456781011121314151617181920212223242526272830[[#This Row],[الدولار]]+(Table13456781011121314151617181920212223242526272830[[#This Row],[اللبناني]]/90)</f>
        <v>1.1111111111111112</v>
      </c>
      <c r="M74" s="6"/>
    </row>
    <row r="75" spans="4:13" s="8" customFormat="1" x14ac:dyDescent="0.3">
      <c r="H75" s="5" t="s">
        <v>144</v>
      </c>
      <c r="I75" s="21"/>
      <c r="J75" s="13">
        <v>80</v>
      </c>
      <c r="L75" s="26">
        <f>Table13456781011121314151617181920212223242526272830[[#This Row],[الدولار]]+(Table13456781011121314151617181920212223242526272830[[#This Row],[اللبناني]]/90)</f>
        <v>0.88888888888888884</v>
      </c>
      <c r="M75" s="6"/>
    </row>
    <row r="76" spans="4:13" s="8" customFormat="1" x14ac:dyDescent="0.3">
      <c r="H76" s="5" t="s">
        <v>144</v>
      </c>
      <c r="I76" s="21" t="s">
        <v>158</v>
      </c>
      <c r="J76" s="13"/>
      <c r="K76" s="8">
        <v>65</v>
      </c>
      <c r="L76" s="26">
        <f>Table13456781011121314151617181920212223242526272830[[#This Row],[الدولار]]+(Table13456781011121314151617181920212223242526272830[[#This Row],[اللبناني]]/90)</f>
        <v>65</v>
      </c>
      <c r="M76" s="6"/>
    </row>
    <row r="77" spans="4:13" s="8" customFormat="1" x14ac:dyDescent="0.3">
      <c r="H77" s="5" t="s">
        <v>144</v>
      </c>
      <c r="I77" s="21" t="s">
        <v>250</v>
      </c>
      <c r="J77" s="13">
        <v>450</v>
      </c>
      <c r="K77" s="8">
        <v>50</v>
      </c>
      <c r="L77" s="26">
        <f>Table13456781011121314151617181920212223242526272830[[#This Row],[الدولار]]+(Table13456781011121314151617181920212223242526272830[[#This Row],[اللبناني]]/90)</f>
        <v>55</v>
      </c>
      <c r="M77" s="6"/>
    </row>
    <row r="78" spans="4:13" s="8" customFormat="1" x14ac:dyDescent="0.3">
      <c r="H78" s="5" t="s">
        <v>144</v>
      </c>
      <c r="I78" s="21" t="s">
        <v>76</v>
      </c>
      <c r="J78" s="13"/>
      <c r="K78" s="8">
        <v>4000</v>
      </c>
      <c r="L78" s="26">
        <f>Table13456781011121314151617181920212223242526272830[[#This Row],[الدولار]]+(Table13456781011121314151617181920212223242526272830[[#This Row],[اللبناني]]/90)</f>
        <v>4000</v>
      </c>
      <c r="M78" s="6"/>
    </row>
    <row r="79" spans="4:13" s="8" customFormat="1" x14ac:dyDescent="0.3">
      <c r="H79" s="5" t="s">
        <v>144</v>
      </c>
      <c r="I79" s="21" t="s">
        <v>139</v>
      </c>
      <c r="J79" s="13"/>
      <c r="K79" s="8">
        <v>7</v>
      </c>
      <c r="L79" s="26">
        <f>Table13456781011121314151617181920212223242526272830[[#This Row],[الدولار]]+(Table13456781011121314151617181920212223242526272830[[#This Row],[اللبناني]]/90)</f>
        <v>7</v>
      </c>
      <c r="M79" s="6"/>
    </row>
    <row r="80" spans="4:13" s="8" customFormat="1" x14ac:dyDescent="0.3">
      <c r="H80" s="5" t="s">
        <v>144</v>
      </c>
      <c r="I80" s="21" t="s">
        <v>37</v>
      </c>
      <c r="J80" s="13"/>
      <c r="K80" s="8">
        <v>-9</v>
      </c>
      <c r="L80" s="26">
        <f>Table13456781011121314151617181920212223242526272830[[#This Row],[الدولار]]+(Table13456781011121314151617181920212223242526272830[[#This Row],[اللبناني]]/90)</f>
        <v>-9</v>
      </c>
      <c r="M80" s="6"/>
    </row>
    <row r="81" spans="8:19" s="8" customFormat="1" x14ac:dyDescent="0.3">
      <c r="H81" s="5" t="s">
        <v>144</v>
      </c>
      <c r="I81" s="21" t="s">
        <v>62</v>
      </c>
      <c r="J81" s="13">
        <v>100</v>
      </c>
      <c r="L81" s="26">
        <f>Table13456781011121314151617181920212223242526272830[[#This Row],[الدولار]]+(Table13456781011121314151617181920212223242526272830[[#This Row],[اللبناني]]/90)</f>
        <v>1.1111111111111112</v>
      </c>
      <c r="M81" s="6"/>
      <c r="N81" s="8" t="s">
        <v>57</v>
      </c>
      <c r="P81" s="8">
        <v>5941</v>
      </c>
      <c r="S81" s="19">
        <v>5440</v>
      </c>
    </row>
    <row r="82" spans="8:19" s="8" customFormat="1" x14ac:dyDescent="0.3">
      <c r="H82" s="5" t="s">
        <v>144</v>
      </c>
      <c r="I82" s="21"/>
      <c r="J82" s="13"/>
      <c r="K82" s="8">
        <v>11</v>
      </c>
      <c r="L82" s="26">
        <f>Table13456781011121314151617181920212223242526272830[[#This Row],[الدولار]]+(Table13456781011121314151617181920212223242526272830[[#This Row],[اللبناني]]/90)</f>
        <v>11</v>
      </c>
      <c r="M82" s="6"/>
    </row>
    <row r="83" spans="8:19" s="8" customFormat="1" x14ac:dyDescent="0.3">
      <c r="H83" s="5" t="s">
        <v>144</v>
      </c>
      <c r="I83" s="21"/>
      <c r="J83" s="13">
        <v>200</v>
      </c>
      <c r="L83" s="26">
        <f>Table13456781011121314151617181920212223242526272830[[#This Row],[الدولار]]+(Table13456781011121314151617181920212223242526272830[[#This Row],[اللبناني]]/90)</f>
        <v>2.2222222222222223</v>
      </c>
      <c r="M83" s="6"/>
    </row>
    <row r="84" spans="8:19" s="8" customFormat="1" x14ac:dyDescent="0.3">
      <c r="H84" s="5" t="s">
        <v>144</v>
      </c>
      <c r="I84" s="21"/>
      <c r="J84" s="13">
        <v>315</v>
      </c>
      <c r="L84" s="26">
        <f>Table13456781011121314151617181920212223242526272830[[#This Row],[الدولار]]+(Table13456781011121314151617181920212223242526272830[[#This Row],[اللبناني]]/90)</f>
        <v>3.5</v>
      </c>
      <c r="M84" s="6"/>
    </row>
    <row r="85" spans="8:19" s="8" customFormat="1" x14ac:dyDescent="0.3">
      <c r="H85" s="5" t="s">
        <v>144</v>
      </c>
      <c r="I85" s="21"/>
      <c r="J85" s="13">
        <v>35</v>
      </c>
      <c r="L85" s="26">
        <f>Table13456781011121314151617181920212223242526272830[[#This Row],[الدولار]]+(Table13456781011121314151617181920212223242526272830[[#This Row],[اللبناني]]/90)</f>
        <v>0.3888888888888889</v>
      </c>
      <c r="M85" s="6"/>
    </row>
    <row r="86" spans="8:19" s="8" customFormat="1" x14ac:dyDescent="0.3">
      <c r="H86" s="5" t="s">
        <v>144</v>
      </c>
      <c r="I86" s="21"/>
      <c r="J86" s="13">
        <v>600</v>
      </c>
      <c r="L86" s="26">
        <f>Table13456781011121314151617181920212223242526272830[[#This Row],[الدولار]]+(Table13456781011121314151617181920212223242526272830[[#This Row],[اللبناني]]/90)</f>
        <v>6.666666666666667</v>
      </c>
      <c r="M86" s="6"/>
    </row>
    <row r="87" spans="8:19" s="8" customFormat="1" x14ac:dyDescent="0.3">
      <c r="H87" s="5" t="s">
        <v>144</v>
      </c>
      <c r="I87" s="21"/>
      <c r="J87" s="13"/>
      <c r="K87" s="8">
        <v>15</v>
      </c>
      <c r="L87" s="26">
        <f>Table13456781011121314151617181920212223242526272830[[#This Row],[الدولار]]+(Table13456781011121314151617181920212223242526272830[[#This Row],[اللبناني]]/90)</f>
        <v>15</v>
      </c>
      <c r="M87" s="6"/>
    </row>
    <row r="88" spans="8:19" s="8" customFormat="1" x14ac:dyDescent="0.3">
      <c r="H88" s="5" t="s">
        <v>144</v>
      </c>
      <c r="I88" s="21"/>
      <c r="J88" s="13"/>
      <c r="K88" s="8">
        <v>40</v>
      </c>
      <c r="L88" s="26">
        <f>Table13456781011121314151617181920212223242526272830[[#This Row],[الدولار]]+(Table13456781011121314151617181920212223242526272830[[#This Row],[اللبناني]]/90)</f>
        <v>40</v>
      </c>
      <c r="M88" s="6"/>
    </row>
    <row r="89" spans="8:19" s="8" customFormat="1" x14ac:dyDescent="0.3">
      <c r="H89" s="5" t="s">
        <v>144</v>
      </c>
      <c r="I89" s="21"/>
      <c r="J89" s="13">
        <v>220</v>
      </c>
      <c r="L89" s="26">
        <f>Table13456781011121314151617181920212223242526272830[[#This Row],[الدولار]]+(Table13456781011121314151617181920212223242526272830[[#This Row],[اللبناني]]/90)</f>
        <v>2.4444444444444446</v>
      </c>
      <c r="M89" s="6"/>
    </row>
    <row r="90" spans="8:19" s="8" customFormat="1" x14ac:dyDescent="0.3">
      <c r="H90" s="5" t="s">
        <v>144</v>
      </c>
      <c r="I90" s="21"/>
      <c r="J90" s="13">
        <v>225</v>
      </c>
      <c r="L90" s="26">
        <f>Table13456781011121314151617181920212223242526272830[[#This Row],[الدولار]]+(Table13456781011121314151617181920212223242526272830[[#This Row],[اللبناني]]/90)</f>
        <v>2.5</v>
      </c>
      <c r="M90" s="6"/>
    </row>
    <row r="91" spans="8:19" s="8" customFormat="1" x14ac:dyDescent="0.3">
      <c r="H91" s="5" t="s">
        <v>144</v>
      </c>
      <c r="I91" s="21"/>
      <c r="J91" s="13"/>
      <c r="K91" s="8">
        <v>95</v>
      </c>
      <c r="L91" s="26">
        <f>Table13456781011121314151617181920212223242526272830[[#This Row],[الدولار]]+(Table13456781011121314151617181920212223242526272830[[#This Row],[اللبناني]]/90)</f>
        <v>95</v>
      </c>
      <c r="M91" s="6"/>
    </row>
    <row r="92" spans="8:19" s="8" customFormat="1" x14ac:dyDescent="0.3">
      <c r="H92" s="5" t="s">
        <v>144</v>
      </c>
      <c r="I92" s="21"/>
      <c r="J92" s="13"/>
      <c r="K92" s="8">
        <v>136</v>
      </c>
      <c r="L92" s="26">
        <f>Table13456781011121314151617181920212223242526272830[[#This Row],[الدولار]]+(Table13456781011121314151617181920212223242526272830[[#This Row],[اللبناني]]/90)</f>
        <v>136</v>
      </c>
      <c r="M92" s="6"/>
    </row>
    <row r="93" spans="8:19" s="8" customFormat="1" x14ac:dyDescent="0.3">
      <c r="H93" s="5" t="s">
        <v>144</v>
      </c>
      <c r="I93" s="21"/>
      <c r="J93" s="13">
        <v>10</v>
      </c>
      <c r="K93" s="8">
        <v>1</v>
      </c>
      <c r="L93" s="26">
        <f>Table13456781011121314151617181920212223242526272830[[#This Row],[الدولار]]+(Table13456781011121314151617181920212223242526272830[[#This Row],[اللبناني]]/90)</f>
        <v>1.1111111111111112</v>
      </c>
      <c r="M93" s="6"/>
    </row>
    <row r="94" spans="8:19" s="8" customFormat="1" x14ac:dyDescent="0.3">
      <c r="H94" s="5" t="s">
        <v>144</v>
      </c>
      <c r="I94" s="21"/>
      <c r="J94" s="13">
        <v>150</v>
      </c>
      <c r="L94" s="26">
        <f>Table13456781011121314151617181920212223242526272830[[#This Row],[الدولار]]+(Table13456781011121314151617181920212223242526272830[[#This Row],[اللبناني]]/90)</f>
        <v>1.6666666666666667</v>
      </c>
      <c r="M94" s="6"/>
    </row>
    <row r="95" spans="8:19" s="8" customFormat="1" x14ac:dyDescent="0.3">
      <c r="H95" s="5" t="s">
        <v>144</v>
      </c>
      <c r="I95" s="21"/>
      <c r="J95" s="13">
        <v>180</v>
      </c>
      <c r="L95" s="26">
        <f>Table13456781011121314151617181920212223242526272830[[#This Row],[الدولار]]+(Table13456781011121314151617181920212223242526272830[[#This Row],[اللبناني]]/90)</f>
        <v>2</v>
      </c>
      <c r="M95" s="6"/>
    </row>
    <row r="96" spans="8:19" s="8" customFormat="1" x14ac:dyDescent="0.3">
      <c r="H96" s="5" t="s">
        <v>144</v>
      </c>
      <c r="I96" s="21"/>
      <c r="J96" s="13"/>
      <c r="K96" s="8">
        <v>134</v>
      </c>
      <c r="L96" s="26">
        <f>Table13456781011121314151617181920212223242526272830[[#This Row],[الدولار]]+(Table13456781011121314151617181920212223242526272830[[#This Row],[اللبناني]]/90)</f>
        <v>134</v>
      </c>
      <c r="M96" s="6"/>
    </row>
    <row r="97" spans="8:13" s="8" customFormat="1" x14ac:dyDescent="0.3">
      <c r="H97" s="5" t="s">
        <v>144</v>
      </c>
      <c r="I97" s="21"/>
      <c r="J97" s="13"/>
      <c r="K97" s="8">
        <v>10</v>
      </c>
      <c r="L97" s="26">
        <f>Table13456781011121314151617181920212223242526272830[[#This Row],[الدولار]]+(Table13456781011121314151617181920212223242526272830[[#This Row],[اللبناني]]/90)</f>
        <v>10</v>
      </c>
      <c r="M97" s="6"/>
    </row>
    <row r="98" spans="8:13" s="8" customFormat="1" x14ac:dyDescent="0.3">
      <c r="H98" s="5" t="s">
        <v>144</v>
      </c>
      <c r="I98" s="21"/>
      <c r="J98" s="13"/>
      <c r="K98" s="8">
        <v>70</v>
      </c>
      <c r="L98" s="26">
        <f>Table13456781011121314151617181920212223242526272830[[#This Row],[الدولار]]+(Table13456781011121314151617181920212223242526272830[[#This Row],[اللبناني]]/90)</f>
        <v>70</v>
      </c>
      <c r="M98" s="6"/>
    </row>
    <row r="99" spans="8:13" s="8" customFormat="1" x14ac:dyDescent="0.3">
      <c r="H99" s="5" t="s">
        <v>144</v>
      </c>
      <c r="I99" s="21"/>
      <c r="J99" s="13"/>
      <c r="K99" s="8">
        <v>110</v>
      </c>
      <c r="L99" s="26">
        <f>Table13456781011121314151617181920212223242526272830[[#This Row],[الدولار]]+(Table13456781011121314151617181920212223242526272830[[#This Row],[اللبناني]]/90)</f>
        <v>110</v>
      </c>
      <c r="M99" s="6"/>
    </row>
    <row r="100" spans="8:13" s="8" customFormat="1" x14ac:dyDescent="0.3">
      <c r="H100" s="5" t="s">
        <v>144</v>
      </c>
      <c r="I100" s="21"/>
      <c r="J100" s="13">
        <v>-200</v>
      </c>
      <c r="K100" s="8">
        <v>5</v>
      </c>
      <c r="L100" s="26">
        <f>Table13456781011121314151617181920212223242526272830[[#This Row],[الدولار]]+(Table13456781011121314151617181920212223242526272830[[#This Row],[اللبناني]]/90)</f>
        <v>2.7777777777777777</v>
      </c>
      <c r="M100" s="6"/>
    </row>
    <row r="101" spans="8:13" s="8" customFormat="1" x14ac:dyDescent="0.3">
      <c r="H101" s="5" t="s">
        <v>144</v>
      </c>
      <c r="I101" s="21"/>
      <c r="J101" s="13"/>
      <c r="K101" s="8">
        <v>35</v>
      </c>
      <c r="L101" s="26">
        <f>Table13456781011121314151617181920212223242526272830[[#This Row],[الدولار]]+(Table13456781011121314151617181920212223242526272830[[#This Row],[اللبناني]]/90)</f>
        <v>35</v>
      </c>
      <c r="M101" s="6"/>
    </row>
    <row r="102" spans="8:13" s="8" customFormat="1" x14ac:dyDescent="0.3">
      <c r="H102" s="5" t="s">
        <v>144</v>
      </c>
      <c r="I102" s="21"/>
      <c r="J102" s="13">
        <v>285</v>
      </c>
      <c r="K102" s="8">
        <v>60</v>
      </c>
      <c r="L102" s="26">
        <f>Table13456781011121314151617181920212223242526272830[[#This Row],[الدولار]]+(Table13456781011121314151617181920212223242526272830[[#This Row],[اللبناني]]/90)</f>
        <v>63.166666666666664</v>
      </c>
      <c r="M102" s="6"/>
    </row>
    <row r="103" spans="8:13" s="8" customFormat="1" x14ac:dyDescent="0.3">
      <c r="H103" s="5" t="s">
        <v>144</v>
      </c>
      <c r="I103" s="21"/>
      <c r="J103" s="13"/>
      <c r="K103" s="8">
        <v>-6</v>
      </c>
      <c r="L103" s="26">
        <f>Table13456781011121314151617181920212223242526272830[[#This Row],[الدولار]]+(Table13456781011121314151617181920212223242526272830[[#This Row],[اللبناني]]/90)</f>
        <v>-6</v>
      </c>
      <c r="M103" s="6"/>
    </row>
    <row r="104" spans="8:13" s="8" customFormat="1" x14ac:dyDescent="0.3">
      <c r="H104" s="5" t="s">
        <v>144</v>
      </c>
      <c r="I104" s="21"/>
      <c r="J104" s="13">
        <v>50</v>
      </c>
      <c r="L104" s="26">
        <f>Table13456781011121314151617181920212223242526272830[[#This Row],[الدولار]]+(Table13456781011121314151617181920212223242526272830[[#This Row],[اللبناني]]/90)</f>
        <v>0.55555555555555558</v>
      </c>
      <c r="M104" s="6"/>
    </row>
    <row r="105" spans="8:13" s="8" customFormat="1" x14ac:dyDescent="0.3">
      <c r="H105" s="5" t="s">
        <v>144</v>
      </c>
      <c r="I105" s="21"/>
      <c r="J105" s="13"/>
      <c r="K105" s="8">
        <v>80</v>
      </c>
      <c r="L105" s="26">
        <f>Table13456781011121314151617181920212223242526272830[[#This Row],[الدولار]]+(Table13456781011121314151617181920212223242526272830[[#This Row],[اللبناني]]/90)</f>
        <v>80</v>
      </c>
      <c r="M105" s="6"/>
    </row>
    <row r="106" spans="8:13" s="8" customFormat="1" x14ac:dyDescent="0.3">
      <c r="H106" s="5" t="s">
        <v>144</v>
      </c>
      <c r="I106" s="21"/>
      <c r="J106" s="13">
        <v>200</v>
      </c>
      <c r="L106" s="26">
        <f>Table13456781011121314151617181920212223242526272830[[#This Row],[الدولار]]+(Table13456781011121314151617181920212223242526272830[[#This Row],[اللبناني]]/90)</f>
        <v>2.2222222222222223</v>
      </c>
      <c r="M106" s="6"/>
    </row>
    <row r="107" spans="8:13" s="8" customFormat="1" x14ac:dyDescent="0.3">
      <c r="H107" s="5" t="s">
        <v>144</v>
      </c>
      <c r="I107" s="21"/>
      <c r="J107" s="13">
        <v>70</v>
      </c>
      <c r="L107" s="26">
        <f>Table13456781011121314151617181920212223242526272830[[#This Row],[الدولار]]+(Table13456781011121314151617181920212223242526272830[[#This Row],[اللبناني]]/90)</f>
        <v>0.77777777777777779</v>
      </c>
      <c r="M107" s="6"/>
    </row>
    <row r="108" spans="8:13" s="8" customFormat="1" x14ac:dyDescent="0.3">
      <c r="H108" s="5" t="s">
        <v>144</v>
      </c>
      <c r="I108" s="21"/>
      <c r="J108" s="13"/>
      <c r="K108" s="8">
        <v>1</v>
      </c>
      <c r="L108" s="26">
        <f>Table13456781011121314151617181920212223242526272830[[#This Row],[الدولار]]+(Table13456781011121314151617181920212223242526272830[[#This Row],[اللبناني]]/90)</f>
        <v>1</v>
      </c>
      <c r="M108" s="6"/>
    </row>
    <row r="109" spans="8:13" s="8" customFormat="1" x14ac:dyDescent="0.3">
      <c r="H109" s="5" t="s">
        <v>144</v>
      </c>
      <c r="I109" s="21"/>
      <c r="J109" s="13">
        <v>500</v>
      </c>
      <c r="L109" s="26">
        <f>Table13456781011121314151617181920212223242526272830[[#This Row],[الدولار]]+(Table13456781011121314151617181920212223242526272830[[#This Row],[اللبناني]]/90)</f>
        <v>5.5555555555555554</v>
      </c>
      <c r="M109" s="6"/>
    </row>
    <row r="110" spans="8:13" s="8" customFormat="1" x14ac:dyDescent="0.3">
      <c r="H110" s="5" t="s">
        <v>145</v>
      </c>
      <c r="I110" s="21" t="s">
        <v>251</v>
      </c>
      <c r="J110" s="13"/>
      <c r="K110" s="8">
        <v>-75</v>
      </c>
      <c r="L110" s="26">
        <f>Table13456781011121314151617181920212223242526272830[[#This Row],[الدولار]]+(Table13456781011121314151617181920212223242526272830[[#This Row],[اللبناني]]/90)</f>
        <v>-75</v>
      </c>
      <c r="M110" s="6"/>
    </row>
    <row r="111" spans="8:13" s="8" customFormat="1" x14ac:dyDescent="0.3">
      <c r="H111" s="5" t="s">
        <v>145</v>
      </c>
      <c r="I111" s="21" t="s">
        <v>31</v>
      </c>
      <c r="J111" s="13">
        <v>-300</v>
      </c>
      <c r="L111" s="26">
        <f>Table13456781011121314151617181920212223242526272830[[#This Row],[الدولار]]+(Table13456781011121314151617181920212223242526272830[[#This Row],[اللبناني]]/90)</f>
        <v>-3.3333333333333335</v>
      </c>
      <c r="M111" s="6"/>
    </row>
    <row r="112" spans="8:13" s="8" customFormat="1" x14ac:dyDescent="0.3">
      <c r="H112" s="5" t="s">
        <v>144</v>
      </c>
      <c r="I112" s="21" t="s">
        <v>173</v>
      </c>
      <c r="J112" s="13"/>
      <c r="K112" s="8">
        <v>12</v>
      </c>
      <c r="L112" s="26">
        <f>Table13456781011121314151617181920212223242526272830[[#This Row],[الدولار]]+(Table13456781011121314151617181920212223242526272830[[#This Row],[اللبناني]]/90)</f>
        <v>12</v>
      </c>
      <c r="M112" s="6"/>
    </row>
    <row r="113" spans="8:19" s="8" customFormat="1" x14ac:dyDescent="0.3">
      <c r="H113" s="5" t="s">
        <v>144</v>
      </c>
      <c r="I113" s="21" t="s">
        <v>253</v>
      </c>
      <c r="J113" s="13"/>
      <c r="K113" s="8">
        <v>100</v>
      </c>
      <c r="L113" s="26">
        <f>Table13456781011121314151617181920212223242526272830[[#This Row],[الدولار]]+(Table13456781011121314151617181920212223242526272830[[#This Row],[اللبناني]]/90)</f>
        <v>100</v>
      </c>
      <c r="M113" s="6"/>
    </row>
    <row r="114" spans="8:19" s="8" customFormat="1" x14ac:dyDescent="0.3">
      <c r="H114" s="5" t="s">
        <v>144</v>
      </c>
      <c r="I114" s="21" t="s">
        <v>254</v>
      </c>
      <c r="J114" s="13">
        <v>60</v>
      </c>
      <c r="L114" s="26">
        <f>Table13456781011121314151617181920212223242526272830[[#This Row],[الدولار]]+(Table13456781011121314151617181920212223242526272830[[#This Row],[اللبناني]]/90)</f>
        <v>0.66666666666666663</v>
      </c>
      <c r="M114" s="6"/>
    </row>
    <row r="115" spans="8:19" s="8" customFormat="1" x14ac:dyDescent="0.3">
      <c r="H115" s="5" t="s">
        <v>144</v>
      </c>
      <c r="I115" s="21" t="s">
        <v>255</v>
      </c>
      <c r="J115" s="13">
        <v>-450</v>
      </c>
      <c r="K115" s="8">
        <v>70</v>
      </c>
      <c r="L115" s="26">
        <f>Table13456781011121314151617181920212223242526272830[[#This Row],[الدولار]]+(Table13456781011121314151617181920212223242526272830[[#This Row],[اللبناني]]/90)</f>
        <v>65</v>
      </c>
      <c r="M115" s="6"/>
      <c r="N115" s="8" t="s">
        <v>57</v>
      </c>
      <c r="P115" s="8">
        <v>6845</v>
      </c>
      <c r="S115" s="8">
        <v>7590</v>
      </c>
    </row>
    <row r="116" spans="8:19" s="8" customFormat="1" x14ac:dyDescent="0.3">
      <c r="H116" s="5" t="s">
        <v>144</v>
      </c>
      <c r="I116" s="21" t="s">
        <v>168</v>
      </c>
      <c r="J116" s="13"/>
      <c r="K116" s="8">
        <v>7</v>
      </c>
      <c r="L116" s="26">
        <f>Table13456781011121314151617181920212223242526272830[[#This Row],[الدولار]]+(Table13456781011121314151617181920212223242526272830[[#This Row],[اللبناني]]/90)</f>
        <v>7</v>
      </c>
      <c r="M116" s="6"/>
    </row>
    <row r="117" spans="8:19" s="8" customFormat="1" x14ac:dyDescent="0.3">
      <c r="H117" s="5" t="s">
        <v>144</v>
      </c>
      <c r="I117" s="21" t="s">
        <v>256</v>
      </c>
      <c r="J117" s="13"/>
      <c r="K117" s="8">
        <v>17</v>
      </c>
      <c r="L117" s="26">
        <f>Table13456781011121314151617181920212223242526272830[[#This Row],[الدولار]]+(Table13456781011121314151617181920212223242526272830[[#This Row],[اللبناني]]/90)</f>
        <v>17</v>
      </c>
      <c r="M117" s="6"/>
    </row>
    <row r="118" spans="8:19" s="8" customFormat="1" x14ac:dyDescent="0.3">
      <c r="H118" s="5" t="s">
        <v>144</v>
      </c>
      <c r="I118" s="21"/>
      <c r="J118" s="13"/>
      <c r="L118" s="26">
        <f>Table13456781011121314151617181920212223242526272830[[#This Row],[الدولار]]+(Table13456781011121314151617181920212223242526272830[[#This Row],[اللبناني]]/90)</f>
        <v>0</v>
      </c>
      <c r="M118" s="6"/>
    </row>
    <row r="119" spans="8:19" s="8" customFormat="1" x14ac:dyDescent="0.3">
      <c r="H119" s="5" t="s">
        <v>144</v>
      </c>
      <c r="I119" s="21"/>
      <c r="J119" s="13"/>
      <c r="L119" s="26">
        <f>Table13456781011121314151617181920212223242526272830[[#This Row],[الدولار]]+(Table13456781011121314151617181920212223242526272830[[#This Row],[اللبناني]]/90)</f>
        <v>0</v>
      </c>
      <c r="M119" s="6"/>
    </row>
    <row r="120" spans="8:19" s="8" customFormat="1" x14ac:dyDescent="0.3">
      <c r="H120" s="5" t="s">
        <v>144</v>
      </c>
      <c r="I120" s="21"/>
      <c r="J120" s="13"/>
      <c r="L120" s="26">
        <f>Table13456781011121314151617181920212223242526272830[[#This Row],[الدولار]]+(Table13456781011121314151617181920212223242526272830[[#This Row],[اللبناني]]/90)</f>
        <v>0</v>
      </c>
      <c r="M120" s="6"/>
    </row>
    <row r="121" spans="8:19" s="8" customFormat="1" x14ac:dyDescent="0.3">
      <c r="H121" s="5" t="s">
        <v>144</v>
      </c>
      <c r="I121" s="21"/>
      <c r="J121" s="13"/>
      <c r="L121" s="26">
        <f>Table13456781011121314151617181920212223242526272830[[#This Row],[الدولار]]+(Table13456781011121314151617181920212223242526272830[[#This Row],[اللبناني]]/90)</f>
        <v>0</v>
      </c>
      <c r="M121" s="6"/>
    </row>
    <row r="122" spans="8:19" s="8" customFormat="1" x14ac:dyDescent="0.3">
      <c r="H122" s="5" t="s">
        <v>144</v>
      </c>
      <c r="I122" s="21"/>
      <c r="J122" s="13"/>
      <c r="L122" s="26">
        <f>Table13456781011121314151617181920212223242526272830[[#This Row],[الدولار]]+(Table13456781011121314151617181920212223242526272830[[#This Row],[اللبناني]]/90)</f>
        <v>0</v>
      </c>
      <c r="M122" s="6"/>
    </row>
    <row r="123" spans="8:19" s="8" customFormat="1" x14ac:dyDescent="0.3">
      <c r="H123" s="5" t="s">
        <v>144</v>
      </c>
      <c r="I123" s="21"/>
      <c r="J123" s="13"/>
      <c r="L123" s="26">
        <f>Table13456781011121314151617181920212223242526272830[[#This Row],[الدولار]]+(Table13456781011121314151617181920212223242526272830[[#This Row],[اللبناني]]/90)</f>
        <v>0</v>
      </c>
      <c r="M123" s="6"/>
    </row>
    <row r="124" spans="8:19" s="8" customFormat="1" x14ac:dyDescent="0.3">
      <c r="H124" s="5" t="s">
        <v>144</v>
      </c>
      <c r="I124" s="21"/>
      <c r="J124" s="13"/>
      <c r="L124" s="26">
        <f>Table13456781011121314151617181920212223242526272830[[#This Row],[الدولار]]+(Table13456781011121314151617181920212223242526272830[[#This Row],[اللبناني]]/90)</f>
        <v>0</v>
      </c>
      <c r="M124" s="6"/>
    </row>
    <row r="125" spans="8:19" s="8" customFormat="1" x14ac:dyDescent="0.3">
      <c r="H125" s="5" t="s">
        <v>144</v>
      </c>
      <c r="I125" s="21"/>
      <c r="J125" s="13"/>
      <c r="L125" s="26">
        <f>Table13456781011121314151617181920212223242526272830[[#This Row],[الدولار]]+(Table13456781011121314151617181920212223242526272830[[#This Row],[اللبناني]]/90)</f>
        <v>0</v>
      </c>
      <c r="M125" s="6"/>
    </row>
    <row r="126" spans="8:19" s="8" customFormat="1" x14ac:dyDescent="0.3">
      <c r="H126" s="5" t="s">
        <v>144</v>
      </c>
      <c r="I126" s="21"/>
      <c r="J126" s="13"/>
      <c r="L126" s="26">
        <f>Table13456781011121314151617181920212223242526272830[[#This Row],[الدولار]]+(Table13456781011121314151617181920212223242526272830[[#This Row],[اللبناني]]/90)</f>
        <v>0</v>
      </c>
      <c r="M126" s="6"/>
    </row>
    <row r="127" spans="8:19" s="8" customFormat="1" x14ac:dyDescent="0.3">
      <c r="H127" s="5" t="s">
        <v>144</v>
      </c>
      <c r="I127" s="21"/>
      <c r="J127" s="13"/>
      <c r="L127" s="26">
        <f>Table13456781011121314151617181920212223242526272830[[#This Row],[الدولار]]+(Table13456781011121314151617181920212223242526272830[[#This Row],[اللبناني]]/90)</f>
        <v>0</v>
      </c>
      <c r="M127" s="6"/>
    </row>
    <row r="128" spans="8:19" s="8" customFormat="1" x14ac:dyDescent="0.3">
      <c r="H128" s="5" t="s">
        <v>144</v>
      </c>
      <c r="I128" s="21"/>
      <c r="J128" s="13"/>
      <c r="L128" s="26">
        <f>Table13456781011121314151617181920212223242526272830[[#This Row],[الدولار]]+(Table13456781011121314151617181920212223242526272830[[#This Row],[اللبناني]]/90)</f>
        <v>0</v>
      </c>
      <c r="M128" s="6"/>
    </row>
    <row r="129" spans="8:13" s="8" customFormat="1" x14ac:dyDescent="0.3">
      <c r="H129" s="5" t="s">
        <v>144</v>
      </c>
      <c r="I129" s="21"/>
      <c r="J129" s="13"/>
      <c r="L129" s="26">
        <f>Table13456781011121314151617181920212223242526272830[[#This Row],[الدولار]]+(Table13456781011121314151617181920212223242526272830[[#This Row],[اللبناني]]/90)</f>
        <v>0</v>
      </c>
      <c r="M129" s="6"/>
    </row>
    <row r="130" spans="8:13" s="8" customFormat="1" x14ac:dyDescent="0.3">
      <c r="H130" s="5" t="s">
        <v>144</v>
      </c>
      <c r="I130" s="21"/>
      <c r="J130" s="13"/>
      <c r="L130" s="26">
        <f>Table13456781011121314151617181920212223242526272830[[#This Row],[الدولار]]+(Table13456781011121314151617181920212223242526272830[[#This Row],[اللبناني]]/90)</f>
        <v>0</v>
      </c>
      <c r="M130" s="6"/>
    </row>
    <row r="131" spans="8:13" s="8" customFormat="1" x14ac:dyDescent="0.3">
      <c r="H131" s="5" t="s">
        <v>144</v>
      </c>
      <c r="I131" s="21"/>
      <c r="J131" s="13"/>
      <c r="L131" s="26">
        <f>Table13456781011121314151617181920212223242526272830[[#This Row],[الدولار]]+(Table13456781011121314151617181920212223242526272830[[#This Row],[اللبناني]]/90)</f>
        <v>0</v>
      </c>
      <c r="M131" s="6"/>
    </row>
    <row r="132" spans="8:13" s="8" customFormat="1" x14ac:dyDescent="0.3">
      <c r="H132" s="5" t="s">
        <v>144</v>
      </c>
      <c r="I132" s="21"/>
      <c r="J132" s="13"/>
      <c r="L132" s="26">
        <f>Table13456781011121314151617181920212223242526272830[[#This Row],[الدولار]]+(Table13456781011121314151617181920212223242526272830[[#This Row],[اللبناني]]/90)</f>
        <v>0</v>
      </c>
      <c r="M132" s="6"/>
    </row>
    <row r="133" spans="8:13" s="8" customFormat="1" x14ac:dyDescent="0.3">
      <c r="H133" s="5" t="s">
        <v>144</v>
      </c>
      <c r="I133" s="21"/>
      <c r="J133" s="13"/>
      <c r="L133" s="26">
        <f>Table13456781011121314151617181920212223242526272830[[#This Row],[الدولار]]+(Table13456781011121314151617181920212223242526272830[[#This Row],[اللبناني]]/90)</f>
        <v>0</v>
      </c>
      <c r="M133" s="6"/>
    </row>
    <row r="134" spans="8:13" s="8" customFormat="1" x14ac:dyDescent="0.3">
      <c r="H134" s="5" t="s">
        <v>144</v>
      </c>
      <c r="I134" s="21"/>
      <c r="J134" s="13"/>
      <c r="L134" s="26">
        <f>Table13456781011121314151617181920212223242526272830[[#This Row],[الدولار]]+(Table13456781011121314151617181920212223242526272830[[#This Row],[اللبناني]]/90)</f>
        <v>0</v>
      </c>
      <c r="M134" s="6"/>
    </row>
    <row r="135" spans="8:13" s="8" customFormat="1" x14ac:dyDescent="0.3">
      <c r="H135" s="5" t="s">
        <v>144</v>
      </c>
      <c r="I135" s="21"/>
      <c r="J135" s="13"/>
      <c r="L135" s="26">
        <f>Table13456781011121314151617181920212223242526272830[[#This Row],[الدولار]]+(Table13456781011121314151617181920212223242526272830[[#This Row],[اللبناني]]/90)</f>
        <v>0</v>
      </c>
      <c r="M135" s="6"/>
    </row>
    <row r="136" spans="8:13" s="8" customFormat="1" x14ac:dyDescent="0.3">
      <c r="H136" s="5" t="s">
        <v>144</v>
      </c>
      <c r="I136" s="21"/>
      <c r="J136" s="13"/>
      <c r="L136" s="26">
        <f>Table13456781011121314151617181920212223242526272830[[#This Row],[الدولار]]+(Table13456781011121314151617181920212223242526272830[[#This Row],[اللبناني]]/90)</f>
        <v>0</v>
      </c>
      <c r="M136" s="6"/>
    </row>
    <row r="137" spans="8:13" s="8" customFormat="1" x14ac:dyDescent="0.3">
      <c r="H137" s="5" t="s">
        <v>144</v>
      </c>
      <c r="I137" s="21"/>
      <c r="J137" s="13"/>
      <c r="L137" s="26">
        <f>Table13456781011121314151617181920212223242526272830[[#This Row],[الدولار]]+(Table13456781011121314151617181920212223242526272830[[#This Row],[اللبناني]]/90)</f>
        <v>0</v>
      </c>
      <c r="M137" s="6"/>
    </row>
    <row r="138" spans="8:13" s="8" customFormat="1" x14ac:dyDescent="0.3">
      <c r="H138" s="5" t="s">
        <v>144</v>
      </c>
      <c r="I138" s="21"/>
      <c r="J138" s="13"/>
      <c r="L138" s="26">
        <f>Table13456781011121314151617181920212223242526272830[[#This Row],[الدولار]]+(Table13456781011121314151617181920212223242526272830[[#This Row],[اللبناني]]/90)</f>
        <v>0</v>
      </c>
      <c r="M138" s="6"/>
    </row>
    <row r="139" spans="8:13" s="8" customFormat="1" x14ac:dyDescent="0.3">
      <c r="H139" s="5" t="s">
        <v>144</v>
      </c>
      <c r="I139" s="21"/>
      <c r="J139" s="13"/>
      <c r="L139" s="26">
        <f>Table13456781011121314151617181920212223242526272830[[#This Row],[الدولار]]+(Table13456781011121314151617181920212223242526272830[[#This Row],[اللبناني]]/90)</f>
        <v>0</v>
      </c>
      <c r="M139" s="6"/>
    </row>
    <row r="140" spans="8:13" s="8" customFormat="1" x14ac:dyDescent="0.3">
      <c r="H140" s="5" t="s">
        <v>144</v>
      </c>
      <c r="I140" s="21"/>
      <c r="J140" s="13"/>
      <c r="L140" s="26">
        <f>Table13456781011121314151617181920212223242526272830[[#This Row],[الدولار]]+(Table13456781011121314151617181920212223242526272830[[#This Row],[اللبناني]]/90)</f>
        <v>0</v>
      </c>
      <c r="M140" s="6"/>
    </row>
    <row r="141" spans="8:13" s="8" customFormat="1" x14ac:dyDescent="0.3">
      <c r="H141" s="5" t="s">
        <v>144</v>
      </c>
      <c r="I141" s="21"/>
      <c r="J141" s="13"/>
      <c r="L141" s="26">
        <f>Table13456781011121314151617181920212223242526272830[[#This Row],[الدولار]]+(Table13456781011121314151617181920212223242526272830[[#This Row],[اللبناني]]/90)</f>
        <v>0</v>
      </c>
      <c r="M141" s="6"/>
    </row>
    <row r="142" spans="8:13" s="8" customFormat="1" x14ac:dyDescent="0.3">
      <c r="H142" s="5" t="s">
        <v>144</v>
      </c>
      <c r="I142" s="21"/>
      <c r="J142" s="13"/>
      <c r="L142" s="26">
        <f>Table13456781011121314151617181920212223242526272830[[#This Row],[الدولار]]+(Table13456781011121314151617181920212223242526272830[[#This Row],[اللبناني]]/90)</f>
        <v>0</v>
      </c>
      <c r="M142" s="6"/>
    </row>
    <row r="143" spans="8:13" s="8" customFormat="1" x14ac:dyDescent="0.3">
      <c r="H143" s="5" t="s">
        <v>144</v>
      </c>
      <c r="I143" s="21"/>
      <c r="J143" s="13"/>
      <c r="L143" s="26">
        <f>Table13456781011121314151617181920212223242526272830[[#This Row],[الدولار]]+(Table13456781011121314151617181920212223242526272830[[#This Row],[اللبناني]]/90)</f>
        <v>0</v>
      </c>
      <c r="M143" s="6"/>
    </row>
    <row r="144" spans="8:13" s="8" customFormat="1" x14ac:dyDescent="0.3">
      <c r="H144" s="5" t="s">
        <v>144</v>
      </c>
      <c r="I144" s="21"/>
      <c r="J144" s="13"/>
      <c r="L144" s="26">
        <f>Table13456781011121314151617181920212223242526272830[[#This Row],[الدولار]]+(Table13456781011121314151617181920212223242526272830[[#This Row],[اللبناني]]/90)</f>
        <v>0</v>
      </c>
      <c r="M144" s="6"/>
    </row>
    <row r="145" spans="8:13" s="8" customFormat="1" x14ac:dyDescent="0.3">
      <c r="H145" s="5" t="s">
        <v>144</v>
      </c>
      <c r="I145" s="21"/>
      <c r="J145" s="13"/>
      <c r="L145" s="26">
        <f>Table13456781011121314151617181920212223242526272830[[#This Row],[الدولار]]+(Table13456781011121314151617181920212223242526272830[[#This Row],[اللبناني]]/90)</f>
        <v>0</v>
      </c>
      <c r="M145" s="6"/>
    </row>
    <row r="146" spans="8:13" s="8" customFormat="1" x14ac:dyDescent="0.3">
      <c r="H146" s="5" t="s">
        <v>144</v>
      </c>
      <c r="I146" s="21"/>
      <c r="J146" s="13"/>
      <c r="L146" s="26">
        <f>Table13456781011121314151617181920212223242526272830[[#This Row],[الدولار]]+(Table13456781011121314151617181920212223242526272830[[#This Row],[اللبناني]]/90)</f>
        <v>0</v>
      </c>
      <c r="M146" s="6"/>
    </row>
    <row r="147" spans="8:13" s="8" customFormat="1" x14ac:dyDescent="0.3">
      <c r="H147" s="5" t="s">
        <v>144</v>
      </c>
      <c r="I147" s="21"/>
      <c r="J147" s="13"/>
      <c r="L147" s="26">
        <f>Table13456781011121314151617181920212223242526272830[[#This Row],[الدولار]]+(Table13456781011121314151617181920212223242526272830[[#This Row],[اللبناني]]/90)</f>
        <v>0</v>
      </c>
      <c r="M147" s="6"/>
    </row>
    <row r="148" spans="8:13" s="8" customFormat="1" x14ac:dyDescent="0.3">
      <c r="H148" s="5" t="s">
        <v>144</v>
      </c>
      <c r="I148" s="21"/>
      <c r="J148" s="13"/>
      <c r="L148" s="26">
        <f>Table13456781011121314151617181920212223242526272830[[#This Row],[الدولار]]+(Table13456781011121314151617181920212223242526272830[[#This Row],[اللبناني]]/90)</f>
        <v>0</v>
      </c>
      <c r="M148" s="6"/>
    </row>
    <row r="149" spans="8:13" s="8" customFormat="1" x14ac:dyDescent="0.3">
      <c r="H149" s="5" t="s">
        <v>144</v>
      </c>
      <c r="I149" s="21"/>
      <c r="J149" s="13"/>
      <c r="L149" s="26">
        <f>Table13456781011121314151617181920212223242526272830[[#This Row],[الدولار]]+(Table13456781011121314151617181920212223242526272830[[#This Row],[اللبناني]]/90)</f>
        <v>0</v>
      </c>
      <c r="M149" s="6"/>
    </row>
    <row r="150" spans="8:13" s="8" customFormat="1" x14ac:dyDescent="0.3">
      <c r="H150" s="5" t="s">
        <v>144</v>
      </c>
      <c r="I150" s="21"/>
      <c r="J150" s="13"/>
      <c r="L150" s="26">
        <f>Table13456781011121314151617181920212223242526272830[[#This Row],[الدولار]]+(Table13456781011121314151617181920212223242526272830[[#This Row],[اللبناني]]/90)</f>
        <v>0</v>
      </c>
      <c r="M150" s="6"/>
    </row>
    <row r="151" spans="8:13" s="8" customFormat="1" x14ac:dyDescent="0.3">
      <c r="H151" s="5" t="s">
        <v>144</v>
      </c>
      <c r="I151" s="21"/>
      <c r="J151" s="13"/>
      <c r="L151" s="26">
        <f>Table13456781011121314151617181920212223242526272830[[#This Row],[الدولار]]+(Table13456781011121314151617181920212223242526272830[[#This Row],[اللبناني]]/90)</f>
        <v>0</v>
      </c>
      <c r="M151" s="6"/>
    </row>
    <row r="152" spans="8:13" s="8" customFormat="1" x14ac:dyDescent="0.3">
      <c r="H152" s="5" t="s">
        <v>144</v>
      </c>
      <c r="I152" s="21"/>
      <c r="J152" s="13"/>
      <c r="L152" s="26">
        <f>Table13456781011121314151617181920212223242526272830[[#This Row],[الدولار]]+(Table13456781011121314151617181920212223242526272830[[#This Row],[اللبناني]]/90)</f>
        <v>0</v>
      </c>
      <c r="M152" s="6"/>
    </row>
    <row r="153" spans="8:13" s="8" customFormat="1" x14ac:dyDescent="0.3">
      <c r="H153" s="5" t="s">
        <v>144</v>
      </c>
      <c r="I153" s="21"/>
      <c r="J153" s="13"/>
      <c r="L153" s="26">
        <f>Table13456781011121314151617181920212223242526272830[[#This Row],[الدولار]]+(Table13456781011121314151617181920212223242526272830[[#This Row],[اللبناني]]/90)</f>
        <v>0</v>
      </c>
      <c r="M153" s="6"/>
    </row>
    <row r="154" spans="8:13" s="8" customFormat="1" x14ac:dyDescent="0.3">
      <c r="H154" s="5" t="s">
        <v>144</v>
      </c>
      <c r="I154" s="21"/>
      <c r="J154" s="13"/>
      <c r="L154" s="26">
        <f>Table13456781011121314151617181920212223242526272830[[#This Row],[الدولار]]+(Table13456781011121314151617181920212223242526272830[[#This Row],[اللبناني]]/90)</f>
        <v>0</v>
      </c>
      <c r="M154" s="6"/>
    </row>
    <row r="155" spans="8:13" s="8" customFormat="1" x14ac:dyDescent="0.3">
      <c r="H155" s="5" t="s">
        <v>144</v>
      </c>
      <c r="I155" s="21"/>
      <c r="J155" s="13"/>
      <c r="L155" s="26">
        <f>Table13456781011121314151617181920212223242526272830[[#This Row],[الدولار]]+(Table13456781011121314151617181920212223242526272830[[#This Row],[اللبناني]]/90)</f>
        <v>0</v>
      </c>
      <c r="M155" s="6"/>
    </row>
    <row r="156" spans="8:13" s="8" customFormat="1" x14ac:dyDescent="0.3">
      <c r="H156" s="5" t="s">
        <v>144</v>
      </c>
      <c r="I156" s="21"/>
      <c r="J156" s="13"/>
      <c r="L156" s="26">
        <f>Table13456781011121314151617181920212223242526272830[[#This Row],[الدولار]]+(Table13456781011121314151617181920212223242526272830[[#This Row],[اللبناني]]/90)</f>
        <v>0</v>
      </c>
      <c r="M156" s="6"/>
    </row>
    <row r="157" spans="8:13" s="8" customFormat="1" x14ac:dyDescent="0.3">
      <c r="H157" s="5" t="s">
        <v>144</v>
      </c>
      <c r="I157" s="21"/>
      <c r="J157" s="13"/>
      <c r="L157" s="26">
        <f>Table13456781011121314151617181920212223242526272830[[#This Row],[الدولار]]+(Table13456781011121314151617181920212223242526272830[[#This Row],[اللبناني]]/90)</f>
        <v>0</v>
      </c>
      <c r="M157" s="6"/>
    </row>
    <row r="158" spans="8:13" s="8" customFormat="1" x14ac:dyDescent="0.3">
      <c r="H158" s="5" t="s">
        <v>144</v>
      </c>
      <c r="I158" s="21"/>
      <c r="J158" s="13"/>
      <c r="L158" s="26">
        <f>Table13456781011121314151617181920212223242526272830[[#This Row],[الدولار]]+(Table13456781011121314151617181920212223242526272830[[#This Row],[اللبناني]]/90)</f>
        <v>0</v>
      </c>
      <c r="M158" s="6"/>
    </row>
    <row r="159" spans="8:13" s="8" customFormat="1" x14ac:dyDescent="0.3">
      <c r="H159" s="5" t="s">
        <v>144</v>
      </c>
      <c r="I159" s="21"/>
      <c r="J159" s="13"/>
      <c r="L159" s="26">
        <f>Table13456781011121314151617181920212223242526272830[[#This Row],[الدولار]]+(Table13456781011121314151617181920212223242526272830[[#This Row],[اللبناني]]/90)</f>
        <v>0</v>
      </c>
      <c r="M159" s="6"/>
    </row>
    <row r="160" spans="8:13" s="8" customFormat="1" x14ac:dyDescent="0.3">
      <c r="H160" s="5" t="s">
        <v>144</v>
      </c>
      <c r="I160" s="21"/>
      <c r="J160" s="13"/>
      <c r="L160" s="26">
        <f>Table13456781011121314151617181920212223242526272830[[#This Row],[الدولار]]+(Table13456781011121314151617181920212223242526272830[[#This Row],[اللبناني]]/90)</f>
        <v>0</v>
      </c>
      <c r="M160" s="6"/>
    </row>
    <row r="161" spans="8:13" s="8" customFormat="1" x14ac:dyDescent="0.3">
      <c r="H161" s="5" t="s">
        <v>144</v>
      </c>
      <c r="I161" s="21"/>
      <c r="J161" s="13"/>
      <c r="L161" s="26">
        <f>Table13456781011121314151617181920212223242526272830[[#This Row],[الدولار]]+(Table13456781011121314151617181920212223242526272830[[#This Row],[اللبناني]]/90)</f>
        <v>0</v>
      </c>
      <c r="M161" s="6"/>
    </row>
    <row r="162" spans="8:13" s="8" customFormat="1" x14ac:dyDescent="0.3">
      <c r="H162" s="5" t="s">
        <v>144</v>
      </c>
      <c r="I162" s="21"/>
      <c r="J162" s="13"/>
      <c r="L162" s="26">
        <f>Table13456781011121314151617181920212223242526272830[[#This Row],[الدولار]]+(Table13456781011121314151617181920212223242526272830[[#This Row],[اللبناني]]/90)</f>
        <v>0</v>
      </c>
      <c r="M162" s="6"/>
    </row>
    <row r="163" spans="8:13" s="8" customFormat="1" x14ac:dyDescent="0.3">
      <c r="H163" s="5" t="s">
        <v>144</v>
      </c>
      <c r="I163" s="21"/>
      <c r="J163" s="13"/>
      <c r="L163" s="26">
        <f>Table13456781011121314151617181920212223242526272830[[#This Row],[الدولار]]+(Table13456781011121314151617181920212223242526272830[[#This Row],[اللبناني]]/90)</f>
        <v>0</v>
      </c>
      <c r="M163" s="6"/>
    </row>
    <row r="164" spans="8:13" s="8" customFormat="1" x14ac:dyDescent="0.3">
      <c r="H164" s="5" t="s">
        <v>144</v>
      </c>
      <c r="I164" s="21"/>
      <c r="J164" s="13"/>
      <c r="L164" s="26">
        <f>Table13456781011121314151617181920212223242526272830[[#This Row],[الدولار]]+(Table13456781011121314151617181920212223242526272830[[#This Row],[اللبناني]]/90)</f>
        <v>0</v>
      </c>
      <c r="M164" s="6"/>
    </row>
    <row r="165" spans="8:13" s="8" customFormat="1" x14ac:dyDescent="0.3">
      <c r="H165" s="5" t="s">
        <v>144</v>
      </c>
      <c r="I165" s="21"/>
      <c r="J165" s="13"/>
      <c r="L165" s="26">
        <f>Table13456781011121314151617181920212223242526272830[[#This Row],[الدولار]]+(Table13456781011121314151617181920212223242526272830[[#This Row],[اللبناني]]/90)</f>
        <v>0</v>
      </c>
      <c r="M165" s="6"/>
    </row>
    <row r="166" spans="8:13" s="8" customFormat="1" x14ac:dyDescent="0.3">
      <c r="H166" s="5" t="s">
        <v>144</v>
      </c>
      <c r="I166" s="21"/>
      <c r="J166" s="13"/>
      <c r="L166" s="26">
        <f>Table13456781011121314151617181920212223242526272830[[#This Row],[الدولار]]+(Table13456781011121314151617181920212223242526272830[[#This Row],[اللبناني]]/90)</f>
        <v>0</v>
      </c>
      <c r="M166" s="6"/>
    </row>
    <row r="167" spans="8:13" s="8" customFormat="1" x14ac:dyDescent="0.3">
      <c r="H167" s="5" t="s">
        <v>144</v>
      </c>
      <c r="I167" s="21"/>
      <c r="J167" s="13"/>
      <c r="L167" s="26">
        <f>Table13456781011121314151617181920212223242526272830[[#This Row],[الدولار]]+(Table13456781011121314151617181920212223242526272830[[#This Row],[اللبناني]]/90)</f>
        <v>0</v>
      </c>
      <c r="M167" s="6"/>
    </row>
    <row r="168" spans="8:13" s="8" customFormat="1" x14ac:dyDescent="0.3">
      <c r="H168" s="5" t="s">
        <v>144</v>
      </c>
      <c r="I168" s="21"/>
      <c r="J168" s="13"/>
      <c r="L168" s="26">
        <f>Table13456781011121314151617181920212223242526272830[[#This Row],[الدولار]]+(Table13456781011121314151617181920212223242526272830[[#This Row],[اللبناني]]/90)</f>
        <v>0</v>
      </c>
      <c r="M168" s="6"/>
    </row>
    <row r="169" spans="8:13" s="8" customFormat="1" x14ac:dyDescent="0.3">
      <c r="H169" s="5" t="s">
        <v>144</v>
      </c>
      <c r="I169" s="21"/>
      <c r="J169" s="13"/>
      <c r="L169" s="26">
        <f>Table13456781011121314151617181920212223242526272830[[#This Row],[الدولار]]+(Table13456781011121314151617181920212223242526272830[[#This Row],[اللبناني]]/90)</f>
        <v>0</v>
      </c>
      <c r="M169" s="6"/>
    </row>
    <row r="170" spans="8:13" s="8" customFormat="1" x14ac:dyDescent="0.3">
      <c r="H170" s="5" t="s">
        <v>144</v>
      </c>
      <c r="I170" s="21"/>
      <c r="J170" s="13"/>
      <c r="L170" s="26">
        <f>Table13456781011121314151617181920212223242526272830[[#This Row],[الدولار]]+(Table13456781011121314151617181920212223242526272830[[#This Row],[اللبناني]]/90)</f>
        <v>0</v>
      </c>
      <c r="M170" s="6"/>
    </row>
    <row r="171" spans="8:13" s="8" customFormat="1" x14ac:dyDescent="0.3">
      <c r="H171" s="5" t="s">
        <v>144</v>
      </c>
      <c r="I171" s="21"/>
      <c r="J171" s="13"/>
      <c r="L171" s="26">
        <f>Table13456781011121314151617181920212223242526272830[[#This Row],[الدولار]]+(Table13456781011121314151617181920212223242526272830[[#This Row],[اللبناني]]/90)</f>
        <v>0</v>
      </c>
      <c r="M171" s="6"/>
    </row>
    <row r="172" spans="8:13" s="8" customFormat="1" x14ac:dyDescent="0.3">
      <c r="H172" s="5" t="s">
        <v>144</v>
      </c>
      <c r="I172" s="21"/>
      <c r="J172" s="13"/>
      <c r="L172" s="26">
        <f>Table13456781011121314151617181920212223242526272830[[#This Row],[الدولار]]+(Table13456781011121314151617181920212223242526272830[[#This Row],[اللبناني]]/90)</f>
        <v>0</v>
      </c>
      <c r="M172" s="6"/>
    </row>
    <row r="173" spans="8:13" s="8" customFormat="1" x14ac:dyDescent="0.3">
      <c r="H173" s="5" t="s">
        <v>144</v>
      </c>
      <c r="I173" s="21"/>
      <c r="J173" s="13"/>
      <c r="L173" s="26">
        <f>Table13456781011121314151617181920212223242526272830[[#This Row],[الدولار]]+(Table13456781011121314151617181920212223242526272830[[#This Row],[اللبناني]]/90)</f>
        <v>0</v>
      </c>
      <c r="M173" s="6"/>
    </row>
    <row r="174" spans="8:13" s="8" customFormat="1" x14ac:dyDescent="0.3">
      <c r="H174" s="5" t="s">
        <v>144</v>
      </c>
      <c r="I174" s="21"/>
      <c r="J174" s="13"/>
      <c r="L174" s="26">
        <f>Table13456781011121314151617181920212223242526272830[[#This Row],[الدولار]]+(Table13456781011121314151617181920212223242526272830[[#This Row],[اللبناني]]/90)</f>
        <v>0</v>
      </c>
      <c r="M174" s="6"/>
    </row>
    <row r="175" spans="8:13" s="8" customFormat="1" x14ac:dyDescent="0.3">
      <c r="H175" s="5" t="s">
        <v>144</v>
      </c>
      <c r="I175" s="21"/>
      <c r="J175" s="13"/>
      <c r="L175" s="26">
        <f>Table13456781011121314151617181920212223242526272830[[#This Row],[الدولار]]+(Table13456781011121314151617181920212223242526272830[[#This Row],[اللبناني]]/90)</f>
        <v>0</v>
      </c>
      <c r="M175" s="6"/>
    </row>
    <row r="176" spans="8:13" s="8" customFormat="1" x14ac:dyDescent="0.3">
      <c r="H176" s="5" t="s">
        <v>144</v>
      </c>
      <c r="I176" s="21"/>
      <c r="J176" s="13"/>
      <c r="L176" s="26">
        <f>Table13456781011121314151617181920212223242526272830[[#This Row],[الدولار]]+(Table13456781011121314151617181920212223242526272830[[#This Row],[اللبناني]]/90)</f>
        <v>0</v>
      </c>
      <c r="M176" s="6"/>
    </row>
    <row r="177" spans="8:13" s="8" customFormat="1" x14ac:dyDescent="0.3">
      <c r="H177" s="5" t="s">
        <v>144</v>
      </c>
      <c r="I177" s="21"/>
      <c r="J177" s="13"/>
      <c r="L177" s="26">
        <f>Table13456781011121314151617181920212223242526272830[[#This Row],[الدولار]]+(Table13456781011121314151617181920212223242526272830[[#This Row],[اللبناني]]/90)</f>
        <v>0</v>
      </c>
      <c r="M177" s="6"/>
    </row>
    <row r="178" spans="8:13" s="8" customFormat="1" x14ac:dyDescent="0.3">
      <c r="H178" s="5" t="s">
        <v>144</v>
      </c>
      <c r="I178" s="21"/>
      <c r="J178" s="13"/>
      <c r="L178" s="26">
        <f>Table13456781011121314151617181920212223242526272830[[#This Row],[الدولار]]+(Table13456781011121314151617181920212223242526272830[[#This Row],[اللبناني]]/90)</f>
        <v>0</v>
      </c>
      <c r="M178" s="6"/>
    </row>
    <row r="179" spans="8:13" s="8" customFormat="1" x14ac:dyDescent="0.3">
      <c r="H179" s="5" t="s">
        <v>144</v>
      </c>
      <c r="I179" s="21"/>
      <c r="J179" s="13"/>
      <c r="L179" s="26">
        <f>Table13456781011121314151617181920212223242526272830[[#This Row],[الدولار]]+(Table13456781011121314151617181920212223242526272830[[#This Row],[اللبناني]]/90)</f>
        <v>0</v>
      </c>
      <c r="M179" s="6"/>
    </row>
    <row r="180" spans="8:13" s="8" customFormat="1" x14ac:dyDescent="0.3">
      <c r="H180" s="5" t="s">
        <v>144</v>
      </c>
      <c r="I180" s="21"/>
      <c r="J180" s="13"/>
      <c r="L180" s="26">
        <f>Table13456781011121314151617181920212223242526272830[[#This Row],[الدولار]]+(Table13456781011121314151617181920212223242526272830[[#This Row],[اللبناني]]/90)</f>
        <v>0</v>
      </c>
      <c r="M180" s="6"/>
    </row>
    <row r="181" spans="8:13" s="8" customFormat="1" x14ac:dyDescent="0.3">
      <c r="H181" s="5" t="s">
        <v>144</v>
      </c>
      <c r="I181" s="21"/>
      <c r="J181" s="13"/>
      <c r="L181" s="26">
        <f>Table13456781011121314151617181920212223242526272830[[#This Row],[الدولار]]+(Table13456781011121314151617181920212223242526272830[[#This Row],[اللبناني]]/90)</f>
        <v>0</v>
      </c>
      <c r="M181" s="6"/>
    </row>
    <row r="182" spans="8:13" s="8" customFormat="1" x14ac:dyDescent="0.3">
      <c r="H182" s="5" t="s">
        <v>144</v>
      </c>
      <c r="I182" s="21"/>
      <c r="J182" s="13"/>
      <c r="L182" s="26">
        <f>Table13456781011121314151617181920212223242526272830[[#This Row],[الدولار]]+(Table13456781011121314151617181920212223242526272830[[#This Row],[اللبناني]]/90)</f>
        <v>0</v>
      </c>
      <c r="M182" s="6"/>
    </row>
    <row r="183" spans="8:13" s="8" customFormat="1" x14ac:dyDescent="0.3">
      <c r="H183" s="5" t="s">
        <v>144</v>
      </c>
      <c r="I183" s="21"/>
      <c r="J183" s="13"/>
      <c r="L183" s="26">
        <f>Table13456781011121314151617181920212223242526272830[[#This Row],[الدولار]]+(Table13456781011121314151617181920212223242526272830[[#This Row],[اللبناني]]/90)</f>
        <v>0</v>
      </c>
      <c r="M183" s="6"/>
    </row>
    <row r="184" spans="8:13" s="8" customFormat="1" x14ac:dyDescent="0.3">
      <c r="H184" s="5" t="s">
        <v>144</v>
      </c>
      <c r="I184" s="21"/>
      <c r="J184" s="13"/>
      <c r="L184" s="26">
        <f>Table13456781011121314151617181920212223242526272830[[#This Row],[الدولار]]+(Table13456781011121314151617181920212223242526272830[[#This Row],[اللبناني]]/90)</f>
        <v>0</v>
      </c>
      <c r="M184" s="6"/>
    </row>
    <row r="185" spans="8:13" s="8" customFormat="1" x14ac:dyDescent="0.3">
      <c r="H185" s="5" t="s">
        <v>144</v>
      </c>
      <c r="I185" s="21"/>
      <c r="J185" s="13"/>
      <c r="L185" s="26">
        <f>Table13456781011121314151617181920212223242526272830[[#This Row],[الدولار]]+(Table13456781011121314151617181920212223242526272830[[#This Row],[اللبناني]]/90)</f>
        <v>0</v>
      </c>
      <c r="M185" s="6"/>
    </row>
    <row r="186" spans="8:13" s="8" customFormat="1" x14ac:dyDescent="0.3">
      <c r="H186" s="5" t="s">
        <v>144</v>
      </c>
      <c r="I186" s="21"/>
      <c r="J186" s="13"/>
      <c r="L186" s="26">
        <f>Table13456781011121314151617181920212223242526272830[[#This Row],[الدولار]]+(Table13456781011121314151617181920212223242526272830[[#This Row],[اللبناني]]/90)</f>
        <v>0</v>
      </c>
      <c r="M186" s="6"/>
    </row>
    <row r="187" spans="8:13" s="8" customFormat="1" x14ac:dyDescent="0.3">
      <c r="H187" s="5" t="s">
        <v>144</v>
      </c>
      <c r="I187" s="21"/>
      <c r="J187" s="13"/>
      <c r="L187" s="26">
        <f>Table13456781011121314151617181920212223242526272830[[#This Row],[الدولار]]+(Table13456781011121314151617181920212223242526272830[[#This Row],[اللبناني]]/90)</f>
        <v>0</v>
      </c>
      <c r="M187" s="6"/>
    </row>
    <row r="188" spans="8:13" s="8" customFormat="1" x14ac:dyDescent="0.3">
      <c r="H188" s="5" t="s">
        <v>144</v>
      </c>
      <c r="I188" s="21"/>
      <c r="J188" s="13"/>
      <c r="L188" s="26">
        <f>Table13456781011121314151617181920212223242526272830[[#This Row],[الدولار]]+(Table13456781011121314151617181920212223242526272830[[#This Row],[اللبناني]]/90)</f>
        <v>0</v>
      </c>
      <c r="M188" s="6"/>
    </row>
    <row r="189" spans="8:13" s="8" customFormat="1" x14ac:dyDescent="0.3">
      <c r="H189" s="5" t="s">
        <v>144</v>
      </c>
      <c r="I189" s="21"/>
      <c r="J189" s="13"/>
      <c r="L189" s="26">
        <f>Table13456781011121314151617181920212223242526272830[[#This Row],[الدولار]]+(Table13456781011121314151617181920212223242526272830[[#This Row],[اللبناني]]/90)</f>
        <v>0</v>
      </c>
      <c r="M189" s="6"/>
    </row>
    <row r="190" spans="8:13" s="8" customFormat="1" x14ac:dyDescent="0.3">
      <c r="H190" s="5" t="s">
        <v>144</v>
      </c>
      <c r="I190" s="21"/>
      <c r="J190" s="13"/>
      <c r="L190" s="26">
        <f>Table13456781011121314151617181920212223242526272830[[#This Row],[الدولار]]+(Table13456781011121314151617181920212223242526272830[[#This Row],[اللبناني]]/90)</f>
        <v>0</v>
      </c>
      <c r="M190" s="6"/>
    </row>
    <row r="191" spans="8:13" s="8" customFormat="1" x14ac:dyDescent="0.3">
      <c r="H191" s="5" t="s">
        <v>144</v>
      </c>
      <c r="I191" s="21"/>
      <c r="J191" s="13"/>
      <c r="L191" s="26">
        <f>Table13456781011121314151617181920212223242526272830[[#This Row],[الدولار]]+(Table13456781011121314151617181920212223242526272830[[#This Row],[اللبناني]]/90)</f>
        <v>0</v>
      </c>
      <c r="M191" s="6"/>
    </row>
    <row r="192" spans="8:13" s="8" customFormat="1" x14ac:dyDescent="0.3">
      <c r="H192" s="5" t="s">
        <v>144</v>
      </c>
      <c r="I192" s="21"/>
      <c r="J192" s="13"/>
      <c r="L192" s="26">
        <f>Table13456781011121314151617181920212223242526272830[[#This Row],[الدولار]]+(Table13456781011121314151617181920212223242526272830[[#This Row],[اللبناني]]/90)</f>
        <v>0</v>
      </c>
      <c r="M192" s="6"/>
    </row>
    <row r="193" spans="8:13" s="8" customFormat="1" x14ac:dyDescent="0.3">
      <c r="H193" s="5" t="s">
        <v>144</v>
      </c>
      <c r="I193" s="21"/>
      <c r="J193" s="13"/>
      <c r="L193" s="26">
        <f>Table13456781011121314151617181920212223242526272830[[#This Row],[الدولار]]+(Table13456781011121314151617181920212223242526272830[[#This Row],[اللبناني]]/90)</f>
        <v>0</v>
      </c>
      <c r="M193" s="6"/>
    </row>
    <row r="194" spans="8:13" s="8" customFormat="1" x14ac:dyDescent="0.3">
      <c r="H194" s="5" t="s">
        <v>144</v>
      </c>
      <c r="I194" s="21"/>
      <c r="J194" s="13"/>
      <c r="L194" s="26">
        <f>Table13456781011121314151617181920212223242526272830[[#This Row],[الدولار]]+(Table13456781011121314151617181920212223242526272830[[#This Row],[اللبناني]]/90)</f>
        <v>0</v>
      </c>
      <c r="M194" s="6"/>
    </row>
    <row r="195" spans="8:13" s="8" customFormat="1" x14ac:dyDescent="0.3">
      <c r="H195" s="5" t="s">
        <v>144</v>
      </c>
      <c r="I195" s="21"/>
      <c r="J195" s="13"/>
      <c r="L195" s="26">
        <f>Table13456781011121314151617181920212223242526272830[[#This Row],[الدولار]]+(Table13456781011121314151617181920212223242526272830[[#This Row],[اللبناني]]/90)</f>
        <v>0</v>
      </c>
      <c r="M195" s="6"/>
    </row>
    <row r="196" spans="8:13" s="8" customFormat="1" x14ac:dyDescent="0.3">
      <c r="H196" s="5" t="s">
        <v>144</v>
      </c>
      <c r="I196" s="21"/>
      <c r="J196" s="13"/>
      <c r="L196" s="26">
        <f>Table13456781011121314151617181920212223242526272830[[#This Row],[الدولار]]+(Table13456781011121314151617181920212223242526272830[[#This Row],[اللبناني]]/90)</f>
        <v>0</v>
      </c>
      <c r="M196" s="6"/>
    </row>
    <row r="197" spans="8:13" s="8" customFormat="1" x14ac:dyDescent="0.3">
      <c r="H197" s="5" t="s">
        <v>144</v>
      </c>
      <c r="I197" s="21"/>
      <c r="J197" s="13"/>
      <c r="L197" s="26">
        <f>Table13456781011121314151617181920212223242526272830[[#This Row],[الدولار]]+(Table13456781011121314151617181920212223242526272830[[#This Row],[اللبناني]]/90)</f>
        <v>0</v>
      </c>
      <c r="M197" s="6"/>
    </row>
    <row r="198" spans="8:13" s="8" customFormat="1" x14ac:dyDescent="0.3">
      <c r="H198" s="5" t="s">
        <v>144</v>
      </c>
      <c r="I198" s="21"/>
      <c r="J198" s="13"/>
      <c r="L198" s="26">
        <f>Table13456781011121314151617181920212223242526272830[[#This Row],[الدولار]]+(Table13456781011121314151617181920212223242526272830[[#This Row],[اللبناني]]/90)</f>
        <v>0</v>
      </c>
      <c r="M198" s="6"/>
    </row>
    <row r="199" spans="8:13" s="8" customFormat="1" x14ac:dyDescent="0.3">
      <c r="H199" s="5" t="s">
        <v>144</v>
      </c>
      <c r="I199" s="21"/>
      <c r="J199" s="13"/>
      <c r="L199" s="26">
        <f>Table13456781011121314151617181920212223242526272830[[#This Row],[الدولار]]+(Table13456781011121314151617181920212223242526272830[[#This Row],[اللبناني]]/90)</f>
        <v>0</v>
      </c>
      <c r="M199" s="6"/>
    </row>
    <row r="200" spans="8:13" s="8" customFormat="1" x14ac:dyDescent="0.3">
      <c r="H200" s="5" t="s">
        <v>144</v>
      </c>
      <c r="I200" s="21"/>
      <c r="J200" s="13"/>
      <c r="L200" s="26">
        <f>Table13456781011121314151617181920212223242526272830[[#This Row],[الدولار]]+(Table13456781011121314151617181920212223242526272830[[#This Row],[اللبناني]]/90)</f>
        <v>0</v>
      </c>
      <c r="M200" s="6"/>
    </row>
    <row r="201" spans="8:13" s="8" customFormat="1" x14ac:dyDescent="0.3">
      <c r="H201" s="5" t="s">
        <v>144</v>
      </c>
      <c r="I201" s="21"/>
      <c r="J201" s="13"/>
      <c r="L201" s="26">
        <f>Table13456781011121314151617181920212223242526272830[[#This Row],[الدولار]]+(Table13456781011121314151617181920212223242526272830[[#This Row],[اللبناني]]/90)</f>
        <v>0</v>
      </c>
      <c r="M201" s="6"/>
    </row>
    <row r="202" spans="8:13" s="8" customFormat="1" x14ac:dyDescent="0.3">
      <c r="H202" s="5" t="s">
        <v>144</v>
      </c>
      <c r="I202" s="21"/>
      <c r="J202" s="13"/>
      <c r="L202" s="26">
        <f>Table13456781011121314151617181920212223242526272830[[#This Row],[الدولار]]+(Table13456781011121314151617181920212223242526272830[[#This Row],[اللبناني]]/90)</f>
        <v>0</v>
      </c>
      <c r="M202" s="6"/>
    </row>
    <row r="203" spans="8:13" s="8" customFormat="1" x14ac:dyDescent="0.3">
      <c r="H203" s="5" t="s">
        <v>144</v>
      </c>
      <c r="I203" s="21"/>
      <c r="J203" s="13"/>
      <c r="L203" s="26">
        <f>Table13456781011121314151617181920212223242526272830[[#This Row],[الدولار]]+(Table13456781011121314151617181920212223242526272830[[#This Row],[اللبناني]]/90)</f>
        <v>0</v>
      </c>
      <c r="M203" s="6"/>
    </row>
    <row r="204" spans="8:13" s="8" customFormat="1" x14ac:dyDescent="0.3">
      <c r="H204" s="5" t="s">
        <v>144</v>
      </c>
      <c r="I204" s="21"/>
      <c r="J204" s="13"/>
      <c r="L204" s="26">
        <f>Table13456781011121314151617181920212223242526272830[[#This Row],[الدولار]]+(Table13456781011121314151617181920212223242526272830[[#This Row],[اللبناني]]/90)</f>
        <v>0</v>
      </c>
      <c r="M204" s="6"/>
    </row>
    <row r="205" spans="8:13" s="8" customFormat="1" x14ac:dyDescent="0.3">
      <c r="H205" s="5" t="s">
        <v>144</v>
      </c>
      <c r="I205" s="21"/>
      <c r="J205" s="13"/>
      <c r="L205" s="26">
        <f>Table13456781011121314151617181920212223242526272830[[#This Row],[الدولار]]+(Table13456781011121314151617181920212223242526272830[[#This Row],[اللبناني]]/90)</f>
        <v>0</v>
      </c>
      <c r="M205" s="6"/>
    </row>
    <row r="206" spans="8:13" s="8" customFormat="1" x14ac:dyDescent="0.3">
      <c r="H206" s="5" t="s">
        <v>144</v>
      </c>
      <c r="I206" s="21"/>
      <c r="J206" s="13"/>
      <c r="L206" s="26">
        <f>Table13456781011121314151617181920212223242526272830[[#This Row],[الدولار]]+(Table13456781011121314151617181920212223242526272830[[#This Row],[اللبناني]]/90)</f>
        <v>0</v>
      </c>
      <c r="M206" s="6"/>
    </row>
    <row r="207" spans="8:13" s="8" customFormat="1" x14ac:dyDescent="0.3">
      <c r="H207" s="5" t="s">
        <v>144</v>
      </c>
      <c r="I207" s="21"/>
      <c r="J207" s="13"/>
      <c r="L207" s="26">
        <f>Table13456781011121314151617181920212223242526272830[[#This Row],[الدولار]]+(Table13456781011121314151617181920212223242526272830[[#This Row],[اللبناني]]/90)</f>
        <v>0</v>
      </c>
      <c r="M207" s="6"/>
    </row>
    <row r="208" spans="8:13" s="8" customFormat="1" x14ac:dyDescent="0.3">
      <c r="H208" s="5" t="s">
        <v>144</v>
      </c>
      <c r="I208" s="21"/>
      <c r="J208" s="13"/>
      <c r="L208" s="26">
        <f>Table13456781011121314151617181920212223242526272830[[#This Row],[الدولار]]+(Table13456781011121314151617181920212223242526272830[[#This Row],[اللبناني]]/90)</f>
        <v>0</v>
      </c>
      <c r="M208" s="6"/>
    </row>
    <row r="209" spans="8:13" s="8" customFormat="1" x14ac:dyDescent="0.3">
      <c r="H209" s="5" t="s">
        <v>144</v>
      </c>
      <c r="I209" s="21"/>
      <c r="J209" s="13"/>
      <c r="L209" s="26">
        <f>Table13456781011121314151617181920212223242526272830[[#This Row],[الدولار]]+(Table13456781011121314151617181920212223242526272830[[#This Row],[اللبناني]]/90)</f>
        <v>0</v>
      </c>
      <c r="M209" s="6"/>
    </row>
    <row r="210" spans="8:13" s="8" customFormat="1" x14ac:dyDescent="0.3">
      <c r="H210" s="5" t="s">
        <v>144</v>
      </c>
      <c r="I210" s="21"/>
      <c r="J210" s="13"/>
      <c r="L210" s="26">
        <f>Table13456781011121314151617181920212223242526272830[[#This Row],[الدولار]]+(Table13456781011121314151617181920212223242526272830[[#This Row],[اللبناني]]/90)</f>
        <v>0</v>
      </c>
      <c r="M210" s="6"/>
    </row>
    <row r="211" spans="8:13" s="8" customFormat="1" x14ac:dyDescent="0.3">
      <c r="H211" s="5" t="s">
        <v>144</v>
      </c>
      <c r="I211" s="21"/>
      <c r="J211" s="13"/>
      <c r="L211" s="26">
        <f>Table13456781011121314151617181920212223242526272830[[#This Row],[الدولار]]+(Table13456781011121314151617181920212223242526272830[[#This Row],[اللبناني]]/90)</f>
        <v>0</v>
      </c>
      <c r="M211" s="6"/>
    </row>
    <row r="212" spans="8:13" s="8" customFormat="1" x14ac:dyDescent="0.3">
      <c r="H212" s="5" t="s">
        <v>144</v>
      </c>
      <c r="I212" s="21"/>
      <c r="J212" s="13"/>
      <c r="L212" s="26">
        <f>Table13456781011121314151617181920212223242526272830[[#This Row],[الدولار]]+(Table13456781011121314151617181920212223242526272830[[#This Row],[اللبناني]]/90)</f>
        <v>0</v>
      </c>
      <c r="M212" s="6"/>
    </row>
    <row r="213" spans="8:13" s="8" customFormat="1" x14ac:dyDescent="0.3">
      <c r="H213" s="5" t="s">
        <v>144</v>
      </c>
      <c r="I213" s="21"/>
      <c r="J213" s="13"/>
      <c r="L213" s="26">
        <f>Table13456781011121314151617181920212223242526272830[[#This Row],[الدولار]]+(Table13456781011121314151617181920212223242526272830[[#This Row],[اللبناني]]/90)</f>
        <v>0</v>
      </c>
      <c r="M213" s="6"/>
    </row>
    <row r="214" spans="8:13" s="8" customFormat="1" x14ac:dyDescent="0.3">
      <c r="H214" s="5" t="s">
        <v>144</v>
      </c>
      <c r="I214" s="21"/>
      <c r="J214" s="13"/>
      <c r="L214" s="26">
        <f>Table13456781011121314151617181920212223242526272830[[#This Row],[الدولار]]+(Table13456781011121314151617181920212223242526272830[[#This Row],[اللبناني]]/90)</f>
        <v>0</v>
      </c>
      <c r="M214" s="6"/>
    </row>
    <row r="215" spans="8:13" s="8" customFormat="1" x14ac:dyDescent="0.3">
      <c r="H215" s="5" t="s">
        <v>144</v>
      </c>
      <c r="I215" s="21"/>
      <c r="J215" s="13"/>
      <c r="L215" s="26">
        <f>Table13456781011121314151617181920212223242526272830[[#This Row],[الدولار]]+(Table13456781011121314151617181920212223242526272830[[#This Row],[اللبناني]]/90)</f>
        <v>0</v>
      </c>
      <c r="M215" s="6"/>
    </row>
    <row r="216" spans="8:13" s="8" customFormat="1" x14ac:dyDescent="0.3">
      <c r="H216" s="5" t="s">
        <v>144</v>
      </c>
      <c r="I216" s="21"/>
      <c r="J216" s="13"/>
      <c r="L216" s="26">
        <f>Table13456781011121314151617181920212223242526272830[[#This Row],[الدولار]]+(Table13456781011121314151617181920212223242526272830[[#This Row],[اللبناني]]/90)</f>
        <v>0</v>
      </c>
      <c r="M216" s="6"/>
    </row>
    <row r="217" spans="8:13" s="8" customFormat="1" x14ac:dyDescent="0.3">
      <c r="H217" s="5" t="s">
        <v>144</v>
      </c>
      <c r="I217" s="21"/>
      <c r="J217" s="13"/>
      <c r="L217" s="26">
        <f>Table13456781011121314151617181920212223242526272830[[#This Row],[الدولار]]+(Table13456781011121314151617181920212223242526272830[[#This Row],[اللبناني]]/90)</f>
        <v>0</v>
      </c>
      <c r="M217" s="6"/>
    </row>
    <row r="218" spans="8:13" s="8" customFormat="1" x14ac:dyDescent="0.3">
      <c r="H218" s="5" t="s">
        <v>144</v>
      </c>
      <c r="I218" s="21"/>
      <c r="J218" s="13"/>
      <c r="L218" s="26">
        <f>Table13456781011121314151617181920212223242526272830[[#This Row],[الدولار]]+(Table13456781011121314151617181920212223242526272830[[#This Row],[اللبناني]]/90)</f>
        <v>0</v>
      </c>
      <c r="M218" s="6"/>
    </row>
    <row r="219" spans="8:13" s="8" customFormat="1" x14ac:dyDescent="0.3">
      <c r="H219" s="5" t="s">
        <v>144</v>
      </c>
      <c r="I219" s="21"/>
      <c r="J219" s="13"/>
      <c r="L219" s="26">
        <f>Table13456781011121314151617181920212223242526272830[[#This Row],[الدولار]]+(Table13456781011121314151617181920212223242526272830[[#This Row],[اللبناني]]/90)</f>
        <v>0</v>
      </c>
      <c r="M219" s="6"/>
    </row>
    <row r="220" spans="8:13" s="8" customFormat="1" x14ac:dyDescent="0.3">
      <c r="H220" s="5" t="s">
        <v>144</v>
      </c>
      <c r="I220" s="21"/>
      <c r="J220" s="13"/>
      <c r="L220" s="26">
        <f>Table13456781011121314151617181920212223242526272830[[#This Row],[الدولار]]+(Table13456781011121314151617181920212223242526272830[[#This Row],[اللبناني]]/90)</f>
        <v>0</v>
      </c>
      <c r="M220" s="6"/>
    </row>
    <row r="221" spans="8:13" s="8" customFormat="1" x14ac:dyDescent="0.3">
      <c r="H221" s="5" t="s">
        <v>144</v>
      </c>
      <c r="I221" s="21"/>
      <c r="J221" s="13"/>
      <c r="L221" s="26">
        <f>Table13456781011121314151617181920212223242526272830[[#This Row],[الدولار]]+(Table13456781011121314151617181920212223242526272830[[#This Row],[اللبناني]]/90)</f>
        <v>0</v>
      </c>
      <c r="M221" s="6"/>
    </row>
    <row r="222" spans="8:13" s="8" customFormat="1" x14ac:dyDescent="0.3">
      <c r="H222" s="5" t="s">
        <v>144</v>
      </c>
      <c r="I222" s="21"/>
      <c r="J222" s="13"/>
      <c r="L222" s="26">
        <f>Table13456781011121314151617181920212223242526272830[[#This Row],[الدولار]]+(Table13456781011121314151617181920212223242526272830[[#This Row],[اللبناني]]/90)</f>
        <v>0</v>
      </c>
      <c r="M222" s="6"/>
    </row>
    <row r="223" spans="8:13" s="8" customFormat="1" x14ac:dyDescent="0.3">
      <c r="H223" s="5" t="s">
        <v>144</v>
      </c>
      <c r="I223" s="21"/>
      <c r="J223" s="13"/>
      <c r="L223" s="26">
        <f>Table13456781011121314151617181920212223242526272830[[#This Row],[الدولار]]+(Table13456781011121314151617181920212223242526272830[[#This Row],[اللبناني]]/90)</f>
        <v>0</v>
      </c>
      <c r="M223" s="6"/>
    </row>
    <row r="224" spans="8:13" s="8" customFormat="1" x14ac:dyDescent="0.3">
      <c r="H224" s="5" t="s">
        <v>144</v>
      </c>
      <c r="I224" s="21"/>
      <c r="J224" s="13"/>
      <c r="L224" s="26">
        <f>Table13456781011121314151617181920212223242526272830[[#This Row],[الدولار]]+(Table13456781011121314151617181920212223242526272830[[#This Row],[اللبناني]]/90)</f>
        <v>0</v>
      </c>
      <c r="M224" s="6"/>
    </row>
    <row r="225" spans="8:13" s="8" customFormat="1" x14ac:dyDescent="0.3">
      <c r="H225" s="5" t="s">
        <v>144</v>
      </c>
      <c r="I225" s="21"/>
      <c r="J225" s="13"/>
      <c r="L225" s="26">
        <f>Table13456781011121314151617181920212223242526272830[[#This Row],[الدولار]]+(Table13456781011121314151617181920212223242526272830[[#This Row],[اللبناني]]/90)</f>
        <v>0</v>
      </c>
      <c r="M225" s="6"/>
    </row>
    <row r="226" spans="8:13" s="8" customFormat="1" x14ac:dyDescent="0.3">
      <c r="H226" s="5" t="s">
        <v>144</v>
      </c>
      <c r="I226" s="21"/>
      <c r="J226" s="13"/>
      <c r="L226" s="26">
        <f>Table13456781011121314151617181920212223242526272830[[#This Row],[الدولار]]+(Table13456781011121314151617181920212223242526272830[[#This Row],[اللبناني]]/90)</f>
        <v>0</v>
      </c>
      <c r="M226" s="6"/>
    </row>
    <row r="227" spans="8:13" s="8" customFormat="1" x14ac:dyDescent="0.3">
      <c r="H227" s="5" t="s">
        <v>144</v>
      </c>
      <c r="I227" s="21"/>
      <c r="J227" s="13"/>
      <c r="L227" s="26">
        <f>Table13456781011121314151617181920212223242526272830[[#This Row],[الدولار]]+(Table13456781011121314151617181920212223242526272830[[#This Row],[اللبناني]]/90)</f>
        <v>0</v>
      </c>
      <c r="M227" s="6"/>
    </row>
    <row r="228" spans="8:13" s="8" customFormat="1" x14ac:dyDescent="0.3">
      <c r="H228" s="5" t="s">
        <v>144</v>
      </c>
      <c r="I228" s="21"/>
      <c r="J228" s="13"/>
      <c r="L228" s="26">
        <f>Table13456781011121314151617181920212223242526272830[[#This Row],[الدولار]]+(Table13456781011121314151617181920212223242526272830[[#This Row],[اللبناني]]/90)</f>
        <v>0</v>
      </c>
      <c r="M228" s="6"/>
    </row>
    <row r="229" spans="8:13" s="8" customFormat="1" x14ac:dyDescent="0.3">
      <c r="H229" s="5" t="s">
        <v>144</v>
      </c>
      <c r="I229" s="21"/>
      <c r="J229" s="13"/>
      <c r="L229" s="26">
        <f>Table13456781011121314151617181920212223242526272830[[#This Row],[الدولار]]+(Table13456781011121314151617181920212223242526272830[[#This Row],[اللبناني]]/90)</f>
        <v>0</v>
      </c>
      <c r="M229" s="6"/>
    </row>
    <row r="230" spans="8:13" s="8" customFormat="1" x14ac:dyDescent="0.3">
      <c r="H230" s="5" t="s">
        <v>144</v>
      </c>
      <c r="I230" s="21"/>
      <c r="J230" s="13"/>
      <c r="L230" s="26">
        <f>Table13456781011121314151617181920212223242526272830[[#This Row],[الدولار]]+(Table13456781011121314151617181920212223242526272830[[#This Row],[اللبناني]]/90)</f>
        <v>0</v>
      </c>
      <c r="M230" s="6"/>
    </row>
    <row r="231" spans="8:13" s="8" customFormat="1" x14ac:dyDescent="0.3">
      <c r="H231" s="5" t="s">
        <v>144</v>
      </c>
      <c r="I231" s="21"/>
      <c r="J231" s="13"/>
      <c r="L231" s="26">
        <f>Table13456781011121314151617181920212223242526272830[[#This Row],[الدولار]]+(Table13456781011121314151617181920212223242526272830[[#This Row],[اللبناني]]/90)</f>
        <v>0</v>
      </c>
      <c r="M231" s="6"/>
    </row>
    <row r="232" spans="8:13" s="8" customFormat="1" x14ac:dyDescent="0.3">
      <c r="H232" s="5" t="s">
        <v>144</v>
      </c>
      <c r="I232" s="21"/>
      <c r="J232" s="13"/>
      <c r="L232" s="26">
        <f>Table13456781011121314151617181920212223242526272830[[#This Row],[الدولار]]+(Table13456781011121314151617181920212223242526272830[[#This Row],[اللبناني]]/90)</f>
        <v>0</v>
      </c>
      <c r="M232" s="6"/>
    </row>
    <row r="233" spans="8:13" s="8" customFormat="1" x14ac:dyDescent="0.3">
      <c r="H233" s="5" t="s">
        <v>144</v>
      </c>
      <c r="I233" s="21"/>
      <c r="J233" s="13"/>
      <c r="L233" s="26">
        <f>Table13456781011121314151617181920212223242526272830[[#This Row],[الدولار]]+(Table13456781011121314151617181920212223242526272830[[#This Row],[اللبناني]]/90)</f>
        <v>0</v>
      </c>
      <c r="M233" s="6"/>
    </row>
    <row r="234" spans="8:13" s="8" customFormat="1" x14ac:dyDescent="0.3">
      <c r="H234" s="5" t="s">
        <v>144</v>
      </c>
      <c r="I234" s="21"/>
      <c r="J234" s="13"/>
      <c r="L234" s="26">
        <f>Table13456781011121314151617181920212223242526272830[[#This Row],[الدولار]]+(Table13456781011121314151617181920212223242526272830[[#This Row],[اللبناني]]/90)</f>
        <v>0</v>
      </c>
      <c r="M234" s="6"/>
    </row>
    <row r="235" spans="8:13" s="8" customFormat="1" x14ac:dyDescent="0.3">
      <c r="H235" s="5" t="s">
        <v>144</v>
      </c>
      <c r="I235" s="21"/>
      <c r="J235" s="13"/>
      <c r="L235" s="26">
        <f>Table13456781011121314151617181920212223242526272830[[#This Row],[الدولار]]+(Table13456781011121314151617181920212223242526272830[[#This Row],[اللبناني]]/90)</f>
        <v>0</v>
      </c>
      <c r="M235" s="6"/>
    </row>
    <row r="236" spans="8:13" s="8" customFormat="1" x14ac:dyDescent="0.3">
      <c r="H236" s="5" t="s">
        <v>144</v>
      </c>
      <c r="I236" s="21"/>
      <c r="J236" s="13"/>
      <c r="L236" s="26">
        <f>Table13456781011121314151617181920212223242526272830[[#This Row],[الدولار]]+(Table13456781011121314151617181920212223242526272830[[#This Row],[اللبناني]]/90)</f>
        <v>0</v>
      </c>
      <c r="M236" s="6"/>
    </row>
    <row r="237" spans="8:13" s="8" customFormat="1" x14ac:dyDescent="0.3">
      <c r="H237" s="5" t="s">
        <v>144</v>
      </c>
      <c r="I237" s="21"/>
      <c r="J237" s="13"/>
      <c r="L237" s="26">
        <f>Table13456781011121314151617181920212223242526272830[[#This Row],[الدولار]]+(Table13456781011121314151617181920212223242526272830[[#This Row],[اللبناني]]/90)</f>
        <v>0</v>
      </c>
      <c r="M237" s="6"/>
    </row>
    <row r="238" spans="8:13" s="8" customFormat="1" x14ac:dyDescent="0.3">
      <c r="H238" s="5" t="s">
        <v>144</v>
      </c>
      <c r="I238" s="21"/>
      <c r="J238" s="13"/>
      <c r="L238" s="26">
        <f>Table13456781011121314151617181920212223242526272830[[#This Row],[الدولار]]+(Table13456781011121314151617181920212223242526272830[[#This Row],[اللبناني]]/90)</f>
        <v>0</v>
      </c>
      <c r="M238" s="6"/>
    </row>
    <row r="239" spans="8:13" s="8" customFormat="1" x14ac:dyDescent="0.3">
      <c r="H239" s="5" t="s">
        <v>144</v>
      </c>
      <c r="I239" s="21"/>
      <c r="J239" s="13"/>
      <c r="L239" s="26">
        <f>Table13456781011121314151617181920212223242526272830[[#This Row],[الدولار]]+(Table13456781011121314151617181920212223242526272830[[#This Row],[اللبناني]]/90)</f>
        <v>0</v>
      </c>
      <c r="M239" s="6"/>
    </row>
    <row r="240" spans="8:13" s="8" customFormat="1" x14ac:dyDescent="0.3">
      <c r="H240" s="5" t="s">
        <v>144</v>
      </c>
      <c r="I240" s="21"/>
      <c r="J240" s="13"/>
      <c r="L240" s="26">
        <f>Table13456781011121314151617181920212223242526272830[[#This Row],[الدولار]]+(Table13456781011121314151617181920212223242526272830[[#This Row],[اللبناني]]/90)</f>
        <v>0</v>
      </c>
      <c r="M240" s="6"/>
    </row>
    <row r="241" spans="8:13" s="8" customFormat="1" x14ac:dyDescent="0.3">
      <c r="H241" s="5" t="s">
        <v>144</v>
      </c>
      <c r="I241" s="21"/>
      <c r="J241" s="13"/>
      <c r="L241" s="26">
        <f>Table13456781011121314151617181920212223242526272830[[#This Row],[الدولار]]+(Table13456781011121314151617181920212223242526272830[[#This Row],[اللبناني]]/90)</f>
        <v>0</v>
      </c>
      <c r="M241" s="6"/>
    </row>
    <row r="242" spans="8:13" s="8" customFormat="1" x14ac:dyDescent="0.3">
      <c r="H242" s="5" t="s">
        <v>144</v>
      </c>
      <c r="I242" s="21"/>
      <c r="J242" s="13"/>
      <c r="L242" s="26">
        <f>Table13456781011121314151617181920212223242526272830[[#This Row],[الدولار]]+(Table13456781011121314151617181920212223242526272830[[#This Row],[اللبناني]]/90)</f>
        <v>0</v>
      </c>
      <c r="M242" s="6"/>
    </row>
    <row r="243" spans="8:13" s="8" customFormat="1" x14ac:dyDescent="0.3">
      <c r="H243" s="5" t="s">
        <v>144</v>
      </c>
      <c r="I243" s="21"/>
      <c r="J243" s="13"/>
      <c r="L243" s="26">
        <f>Table13456781011121314151617181920212223242526272830[[#This Row],[الدولار]]+(Table13456781011121314151617181920212223242526272830[[#This Row],[اللبناني]]/90)</f>
        <v>0</v>
      </c>
      <c r="M243" s="6"/>
    </row>
    <row r="244" spans="8:13" s="8" customFormat="1" x14ac:dyDescent="0.3">
      <c r="H244" s="5" t="s">
        <v>144</v>
      </c>
      <c r="I244" s="21"/>
      <c r="J244" s="13"/>
      <c r="L244" s="26">
        <f>Table13456781011121314151617181920212223242526272830[[#This Row],[الدولار]]+(Table13456781011121314151617181920212223242526272830[[#This Row],[اللبناني]]/90)</f>
        <v>0</v>
      </c>
      <c r="M244" s="6"/>
    </row>
    <row r="245" spans="8:13" s="8" customFormat="1" x14ac:dyDescent="0.3">
      <c r="H245" s="5" t="s">
        <v>144</v>
      </c>
      <c r="I245" s="21"/>
      <c r="J245" s="13"/>
      <c r="L245" s="26">
        <f>Table13456781011121314151617181920212223242526272830[[#This Row],[الدولار]]+(Table13456781011121314151617181920212223242526272830[[#This Row],[اللبناني]]/90)</f>
        <v>0</v>
      </c>
      <c r="M245" s="6"/>
    </row>
    <row r="246" spans="8:13" s="8" customFormat="1" x14ac:dyDescent="0.3">
      <c r="H246" s="5" t="s">
        <v>144</v>
      </c>
      <c r="I246" s="21"/>
      <c r="J246" s="13"/>
      <c r="L246" s="26">
        <f>Table13456781011121314151617181920212223242526272830[[#This Row],[الدولار]]+(Table13456781011121314151617181920212223242526272830[[#This Row],[اللبناني]]/90)</f>
        <v>0</v>
      </c>
      <c r="M246" s="6"/>
    </row>
    <row r="247" spans="8:13" s="8" customFormat="1" x14ac:dyDescent="0.3">
      <c r="H247" s="5" t="s">
        <v>144</v>
      </c>
      <c r="I247" s="21"/>
      <c r="J247" s="13"/>
      <c r="L247" s="26">
        <f>Table13456781011121314151617181920212223242526272830[[#This Row],[الدولار]]+(Table13456781011121314151617181920212223242526272830[[#This Row],[اللبناني]]/90)</f>
        <v>0</v>
      </c>
      <c r="M247" s="6"/>
    </row>
    <row r="248" spans="8:13" s="8" customFormat="1" x14ac:dyDescent="0.3">
      <c r="H248" s="5" t="s">
        <v>144</v>
      </c>
      <c r="I248" s="21"/>
      <c r="J248" s="13"/>
      <c r="L248" s="26">
        <f>Table13456781011121314151617181920212223242526272830[[#This Row],[الدولار]]+(Table13456781011121314151617181920212223242526272830[[#This Row],[اللبناني]]/90)</f>
        <v>0</v>
      </c>
      <c r="M248" s="6"/>
    </row>
    <row r="249" spans="8:13" s="8" customFormat="1" x14ac:dyDescent="0.3">
      <c r="H249" s="5" t="s">
        <v>144</v>
      </c>
      <c r="I249" s="21"/>
      <c r="J249" s="13"/>
      <c r="L249" s="26">
        <f>Table13456781011121314151617181920212223242526272830[[#This Row],[الدولار]]+(Table13456781011121314151617181920212223242526272830[[#This Row],[اللبناني]]/90)</f>
        <v>0</v>
      </c>
      <c r="M249" s="6"/>
    </row>
    <row r="250" spans="8:13" s="8" customFormat="1" x14ac:dyDescent="0.3">
      <c r="H250" s="5" t="s">
        <v>144</v>
      </c>
      <c r="I250" s="21"/>
      <c r="J250" s="13"/>
      <c r="L250" s="26">
        <f>Table13456781011121314151617181920212223242526272830[[#This Row],[الدولار]]+(Table13456781011121314151617181920212223242526272830[[#This Row],[اللبناني]]/90)</f>
        <v>0</v>
      </c>
      <c r="M250" s="6"/>
    </row>
    <row r="251" spans="8:13" s="8" customFormat="1" x14ac:dyDescent="0.3">
      <c r="H251" s="5" t="s">
        <v>144</v>
      </c>
      <c r="I251" s="21"/>
      <c r="J251" s="13"/>
      <c r="L251" s="26">
        <f>Table13456781011121314151617181920212223242526272830[[#This Row],[الدولار]]+(Table13456781011121314151617181920212223242526272830[[#This Row],[اللبناني]]/90)</f>
        <v>0</v>
      </c>
      <c r="M251" s="6"/>
    </row>
    <row r="252" spans="8:13" s="8" customFormat="1" x14ac:dyDescent="0.3">
      <c r="H252" s="5" t="s">
        <v>144</v>
      </c>
      <c r="I252" s="21"/>
      <c r="J252" s="13"/>
      <c r="L252" s="26">
        <f>Table13456781011121314151617181920212223242526272830[[#This Row],[الدولار]]+(Table13456781011121314151617181920212223242526272830[[#This Row],[اللبناني]]/90)</f>
        <v>0</v>
      </c>
      <c r="M252" s="6"/>
    </row>
    <row r="253" spans="8:13" s="8" customFormat="1" x14ac:dyDescent="0.3">
      <c r="H253" s="5" t="s">
        <v>144</v>
      </c>
      <c r="I253" s="21"/>
      <c r="J253" s="13"/>
      <c r="L253" s="26">
        <f>Table13456781011121314151617181920212223242526272830[[#This Row],[الدولار]]+(Table13456781011121314151617181920212223242526272830[[#This Row],[اللبناني]]/90)</f>
        <v>0</v>
      </c>
      <c r="M253" s="6"/>
    </row>
    <row r="254" spans="8:13" s="8" customFormat="1" x14ac:dyDescent="0.3">
      <c r="H254" s="5" t="s">
        <v>144</v>
      </c>
      <c r="I254" s="21"/>
      <c r="J254" s="13"/>
      <c r="L254" s="26">
        <f>Table13456781011121314151617181920212223242526272830[[#This Row],[الدولار]]+(Table13456781011121314151617181920212223242526272830[[#This Row],[اللبناني]]/90)</f>
        <v>0</v>
      </c>
      <c r="M254" s="6"/>
    </row>
    <row r="255" spans="8:13" s="8" customFormat="1" x14ac:dyDescent="0.3">
      <c r="H255" s="5" t="s">
        <v>144</v>
      </c>
      <c r="I255" s="21"/>
      <c r="J255" s="13"/>
      <c r="L255" s="26">
        <f>Table13456781011121314151617181920212223242526272830[[#This Row],[الدولار]]+(Table13456781011121314151617181920212223242526272830[[#This Row],[اللبناني]]/90)</f>
        <v>0</v>
      </c>
      <c r="M255" s="6"/>
    </row>
    <row r="256" spans="8:13" s="8" customFormat="1" x14ac:dyDescent="0.3">
      <c r="H256" s="5" t="s">
        <v>144</v>
      </c>
      <c r="I256" s="21"/>
      <c r="J256" s="13"/>
      <c r="L256" s="26">
        <f>Table13456781011121314151617181920212223242526272830[[#This Row],[الدولار]]+(Table13456781011121314151617181920212223242526272830[[#This Row],[اللبناني]]/90)</f>
        <v>0</v>
      </c>
      <c r="M256" s="6"/>
    </row>
    <row r="257" spans="8:13" s="8" customFormat="1" x14ac:dyDescent="0.3">
      <c r="H257" s="5" t="s">
        <v>144</v>
      </c>
      <c r="I257" s="21"/>
      <c r="J257" s="13"/>
      <c r="L257" s="26">
        <f>Table13456781011121314151617181920212223242526272830[[#This Row],[الدولار]]+(Table13456781011121314151617181920212223242526272830[[#This Row],[اللبناني]]/90)</f>
        <v>0</v>
      </c>
      <c r="M257" s="6"/>
    </row>
    <row r="258" spans="8:13" s="8" customFormat="1" x14ac:dyDescent="0.3">
      <c r="H258" s="5" t="s">
        <v>144</v>
      </c>
      <c r="I258" s="21"/>
      <c r="J258" s="13"/>
      <c r="L258" s="26">
        <f>Table13456781011121314151617181920212223242526272830[[#This Row],[الدولار]]+(Table13456781011121314151617181920212223242526272830[[#This Row],[اللبناني]]/90)</f>
        <v>0</v>
      </c>
      <c r="M258" s="6"/>
    </row>
    <row r="259" spans="8:13" s="8" customFormat="1" x14ac:dyDescent="0.3">
      <c r="H259" s="5" t="s">
        <v>144</v>
      </c>
      <c r="I259" s="21"/>
      <c r="J259" s="13"/>
      <c r="L259" s="26">
        <f>Table13456781011121314151617181920212223242526272830[[#This Row],[الدولار]]+(Table13456781011121314151617181920212223242526272830[[#This Row],[اللبناني]]/90)</f>
        <v>0</v>
      </c>
      <c r="M259" s="6"/>
    </row>
    <row r="260" spans="8:13" s="8" customFormat="1" x14ac:dyDescent="0.3">
      <c r="H260" s="5" t="s">
        <v>144</v>
      </c>
      <c r="I260" s="21"/>
      <c r="J260" s="13"/>
      <c r="L260" s="26">
        <f>Table13456781011121314151617181920212223242526272830[[#This Row],[الدولار]]+(Table13456781011121314151617181920212223242526272830[[#This Row],[اللبناني]]/90)</f>
        <v>0</v>
      </c>
      <c r="M260" s="6"/>
    </row>
    <row r="261" spans="8:13" s="8" customFormat="1" x14ac:dyDescent="0.3">
      <c r="H261" s="5" t="s">
        <v>144</v>
      </c>
      <c r="I261" s="21"/>
      <c r="J261" s="13"/>
      <c r="L261" s="26">
        <f>Table13456781011121314151617181920212223242526272830[[#This Row],[الدولار]]+(Table13456781011121314151617181920212223242526272830[[#This Row],[اللبناني]]/90)</f>
        <v>0</v>
      </c>
      <c r="M261" s="6"/>
    </row>
    <row r="262" spans="8:13" s="8" customFormat="1" x14ac:dyDescent="0.3">
      <c r="H262" s="5" t="s">
        <v>144</v>
      </c>
      <c r="I262" s="21"/>
      <c r="J262" s="13"/>
      <c r="L262" s="26">
        <f>Table13456781011121314151617181920212223242526272830[[#This Row],[الدولار]]+(Table13456781011121314151617181920212223242526272830[[#This Row],[اللبناني]]/90)</f>
        <v>0</v>
      </c>
      <c r="M262" s="6"/>
    </row>
    <row r="263" spans="8:13" s="8" customFormat="1" x14ac:dyDescent="0.3">
      <c r="H263" s="5" t="s">
        <v>144</v>
      </c>
      <c r="I263" s="21"/>
      <c r="J263" s="13"/>
      <c r="L263" s="26">
        <f>Table13456781011121314151617181920212223242526272830[[#This Row],[الدولار]]+(Table13456781011121314151617181920212223242526272830[[#This Row],[اللبناني]]/90)</f>
        <v>0</v>
      </c>
      <c r="M263" s="6"/>
    </row>
    <row r="264" spans="8:13" s="8" customFormat="1" x14ac:dyDescent="0.3">
      <c r="H264" s="5" t="s">
        <v>144</v>
      </c>
      <c r="I264" s="21"/>
      <c r="J264" s="13"/>
      <c r="L264" s="26">
        <f>Table13456781011121314151617181920212223242526272830[[#This Row],[الدولار]]+(Table13456781011121314151617181920212223242526272830[[#This Row],[اللبناني]]/90)</f>
        <v>0</v>
      </c>
      <c r="M264" s="6"/>
    </row>
    <row r="265" spans="8:13" s="8" customFormat="1" x14ac:dyDescent="0.3">
      <c r="H265" s="5" t="s">
        <v>144</v>
      </c>
      <c r="I265" s="21"/>
      <c r="J265" s="13"/>
      <c r="L265" s="26">
        <f>Table13456781011121314151617181920212223242526272830[[#This Row],[الدولار]]+(Table13456781011121314151617181920212223242526272830[[#This Row],[اللبناني]]/90)</f>
        <v>0</v>
      </c>
      <c r="M265" s="6"/>
    </row>
    <row r="266" spans="8:13" s="8" customFormat="1" x14ac:dyDescent="0.3">
      <c r="H266" s="5" t="s">
        <v>144</v>
      </c>
      <c r="I266" s="21"/>
      <c r="J266" s="13"/>
      <c r="L266" s="26">
        <f>Table13456781011121314151617181920212223242526272830[[#This Row],[الدولار]]+(Table13456781011121314151617181920212223242526272830[[#This Row],[اللبناني]]/90)</f>
        <v>0</v>
      </c>
      <c r="M266" s="6"/>
    </row>
    <row r="267" spans="8:13" s="8" customFormat="1" x14ac:dyDescent="0.3">
      <c r="H267" s="5" t="s">
        <v>144</v>
      </c>
      <c r="I267" s="21"/>
      <c r="J267" s="13"/>
      <c r="L267" s="26">
        <f>Table13456781011121314151617181920212223242526272830[[#This Row],[الدولار]]+(Table13456781011121314151617181920212223242526272830[[#This Row],[اللبناني]]/90)</f>
        <v>0</v>
      </c>
      <c r="M267" s="6"/>
    </row>
    <row r="268" spans="8:13" s="8" customFormat="1" x14ac:dyDescent="0.3">
      <c r="H268" s="5" t="s">
        <v>144</v>
      </c>
      <c r="I268" s="21"/>
      <c r="J268" s="13"/>
      <c r="L268" s="26">
        <f>Table13456781011121314151617181920212223242526272830[[#This Row],[الدولار]]+(Table13456781011121314151617181920212223242526272830[[#This Row],[اللبناني]]/90)</f>
        <v>0</v>
      </c>
      <c r="M268" s="6"/>
    </row>
    <row r="269" spans="8:13" s="8" customFormat="1" x14ac:dyDescent="0.3">
      <c r="H269" s="5" t="s">
        <v>144</v>
      </c>
      <c r="I269" s="21"/>
      <c r="J269" s="13"/>
      <c r="L269" s="26">
        <f>Table13456781011121314151617181920212223242526272830[[#This Row],[الدولار]]+(Table13456781011121314151617181920212223242526272830[[#This Row],[اللبناني]]/90)</f>
        <v>0</v>
      </c>
      <c r="M269" s="6"/>
    </row>
    <row r="270" spans="8:13" s="8" customFormat="1" x14ac:dyDescent="0.3">
      <c r="H270" s="5" t="s">
        <v>144</v>
      </c>
      <c r="I270" s="21"/>
      <c r="J270" s="13"/>
      <c r="L270" s="26">
        <f>Table13456781011121314151617181920212223242526272830[[#This Row],[الدولار]]+(Table13456781011121314151617181920212223242526272830[[#This Row],[اللبناني]]/90)</f>
        <v>0</v>
      </c>
      <c r="M270" s="6"/>
    </row>
    <row r="271" spans="8:13" s="8" customFormat="1" x14ac:dyDescent="0.3">
      <c r="H271" s="5" t="s">
        <v>144</v>
      </c>
      <c r="I271" s="21"/>
      <c r="J271" s="13"/>
      <c r="L271" s="26">
        <f>Table13456781011121314151617181920212223242526272830[[#This Row],[الدولار]]+(Table13456781011121314151617181920212223242526272830[[#This Row],[اللبناني]]/90)</f>
        <v>0</v>
      </c>
      <c r="M271" s="6"/>
    </row>
    <row r="272" spans="8:13" s="8" customFormat="1" x14ac:dyDescent="0.3">
      <c r="H272" s="5" t="s">
        <v>144</v>
      </c>
      <c r="I272" s="21"/>
      <c r="J272" s="13"/>
      <c r="L272" s="26">
        <f>Table13456781011121314151617181920212223242526272830[[#This Row],[الدولار]]+(Table13456781011121314151617181920212223242526272830[[#This Row],[اللبناني]]/90)</f>
        <v>0</v>
      </c>
      <c r="M272" s="6"/>
    </row>
    <row r="273" spans="8:13" s="8" customFormat="1" x14ac:dyDescent="0.3">
      <c r="H273" s="5" t="s">
        <v>144</v>
      </c>
      <c r="I273" s="21"/>
      <c r="J273" s="13"/>
      <c r="L273" s="26">
        <f>Table13456781011121314151617181920212223242526272830[[#This Row],[الدولار]]+(Table13456781011121314151617181920212223242526272830[[#This Row],[اللبناني]]/90)</f>
        <v>0</v>
      </c>
      <c r="M273" s="6"/>
    </row>
    <row r="274" spans="8:13" s="8" customFormat="1" x14ac:dyDescent="0.3">
      <c r="H274" s="5" t="s">
        <v>144</v>
      </c>
      <c r="I274" s="21"/>
      <c r="J274" s="13"/>
      <c r="L274" s="26">
        <f>Table13456781011121314151617181920212223242526272830[[#This Row],[الدولار]]+(Table13456781011121314151617181920212223242526272830[[#This Row],[اللبناني]]/90)</f>
        <v>0</v>
      </c>
      <c r="M274" s="6"/>
    </row>
    <row r="275" spans="8:13" s="8" customFormat="1" x14ac:dyDescent="0.3">
      <c r="H275" s="5" t="s">
        <v>144</v>
      </c>
      <c r="I275" s="21"/>
      <c r="J275" s="13"/>
      <c r="L275" s="26">
        <f>Table13456781011121314151617181920212223242526272830[[#This Row],[الدولار]]+(Table13456781011121314151617181920212223242526272830[[#This Row],[اللبناني]]/90)</f>
        <v>0</v>
      </c>
      <c r="M275" s="6"/>
    </row>
    <row r="276" spans="8:13" s="8" customFormat="1" x14ac:dyDescent="0.3">
      <c r="H276" s="5" t="s">
        <v>144</v>
      </c>
      <c r="I276" s="21"/>
      <c r="J276" s="13"/>
      <c r="L276" s="26">
        <f>Table13456781011121314151617181920212223242526272830[[#This Row],[الدولار]]+(Table13456781011121314151617181920212223242526272830[[#This Row],[اللبناني]]/90)</f>
        <v>0</v>
      </c>
      <c r="M276" s="6"/>
    </row>
    <row r="277" spans="8:13" s="8" customFormat="1" x14ac:dyDescent="0.3">
      <c r="H277" s="5" t="s">
        <v>144</v>
      </c>
      <c r="I277" s="21"/>
      <c r="J277" s="13"/>
      <c r="L277" s="26">
        <f>Table13456781011121314151617181920212223242526272830[[#This Row],[الدولار]]+(Table13456781011121314151617181920212223242526272830[[#This Row],[اللبناني]]/90)</f>
        <v>0</v>
      </c>
      <c r="M277" s="6"/>
    </row>
    <row r="278" spans="8:13" s="8" customFormat="1" x14ac:dyDescent="0.3">
      <c r="H278" s="5" t="s">
        <v>144</v>
      </c>
      <c r="I278" s="21"/>
      <c r="J278" s="13"/>
      <c r="L278" s="26">
        <f>Table13456781011121314151617181920212223242526272830[[#This Row],[الدولار]]+(Table13456781011121314151617181920212223242526272830[[#This Row],[اللبناني]]/90)</f>
        <v>0</v>
      </c>
      <c r="M278" s="6"/>
    </row>
    <row r="279" spans="8:13" s="8" customFormat="1" x14ac:dyDescent="0.3">
      <c r="H279" s="5" t="s">
        <v>144</v>
      </c>
      <c r="I279" s="21"/>
      <c r="J279" s="13"/>
      <c r="L279" s="26">
        <f>Table13456781011121314151617181920212223242526272830[[#This Row],[الدولار]]+(Table13456781011121314151617181920212223242526272830[[#This Row],[اللبناني]]/90)</f>
        <v>0</v>
      </c>
      <c r="M279" s="6"/>
    </row>
    <row r="280" spans="8:13" s="8" customFormat="1" x14ac:dyDescent="0.3">
      <c r="H280" s="5" t="s">
        <v>144</v>
      </c>
      <c r="I280" s="21"/>
      <c r="J280" s="13"/>
      <c r="L280" s="26">
        <f>Table13456781011121314151617181920212223242526272830[[#This Row],[الدولار]]+(Table13456781011121314151617181920212223242526272830[[#This Row],[اللبناني]]/90)</f>
        <v>0</v>
      </c>
      <c r="M280" s="6"/>
    </row>
    <row r="281" spans="8:13" s="8" customFormat="1" x14ac:dyDescent="0.3">
      <c r="H281" s="5" t="s">
        <v>144</v>
      </c>
      <c r="I281" s="21"/>
      <c r="J281" s="13"/>
      <c r="L281" s="26">
        <f>Table13456781011121314151617181920212223242526272830[[#This Row],[الدولار]]+(Table13456781011121314151617181920212223242526272830[[#This Row],[اللبناني]]/90)</f>
        <v>0</v>
      </c>
      <c r="M281" s="6"/>
    </row>
    <row r="282" spans="8:13" s="8" customFormat="1" x14ac:dyDescent="0.3">
      <c r="H282" s="5" t="s">
        <v>144</v>
      </c>
      <c r="I282" s="21"/>
      <c r="J282" s="13"/>
      <c r="L282" s="26">
        <f>Table13456781011121314151617181920212223242526272830[[#This Row],[الدولار]]+(Table13456781011121314151617181920212223242526272830[[#This Row],[اللبناني]]/90)</f>
        <v>0</v>
      </c>
      <c r="M282" s="6"/>
    </row>
    <row r="283" spans="8:13" s="8" customFormat="1" x14ac:dyDescent="0.3">
      <c r="H283" s="5" t="s">
        <v>144</v>
      </c>
      <c r="I283" s="21"/>
      <c r="J283" s="13"/>
      <c r="L283" s="26">
        <f>Table13456781011121314151617181920212223242526272830[[#This Row],[الدولار]]+(Table13456781011121314151617181920212223242526272830[[#This Row],[اللبناني]]/90)</f>
        <v>0</v>
      </c>
      <c r="M283" s="6"/>
    </row>
    <row r="284" spans="8:13" s="8" customFormat="1" x14ac:dyDescent="0.3">
      <c r="H284" s="5" t="s">
        <v>144</v>
      </c>
      <c r="I284" s="21"/>
      <c r="J284" s="13"/>
      <c r="L284" s="26">
        <f>Table13456781011121314151617181920212223242526272830[[#This Row],[الدولار]]+(Table13456781011121314151617181920212223242526272830[[#This Row],[اللبناني]]/90)</f>
        <v>0</v>
      </c>
      <c r="M284" s="6"/>
    </row>
    <row r="285" spans="8:13" s="8" customFormat="1" x14ac:dyDescent="0.3">
      <c r="H285" s="5" t="s">
        <v>144</v>
      </c>
      <c r="I285" s="21"/>
      <c r="J285" s="13"/>
      <c r="L285" s="26">
        <f>Table13456781011121314151617181920212223242526272830[[#This Row],[الدولار]]+(Table13456781011121314151617181920212223242526272830[[#This Row],[اللبناني]]/90)</f>
        <v>0</v>
      </c>
      <c r="M285" s="6"/>
    </row>
    <row r="286" spans="8:13" s="8" customFormat="1" x14ac:dyDescent="0.3">
      <c r="H286" s="5" t="s">
        <v>144</v>
      </c>
      <c r="I286" s="21"/>
      <c r="J286" s="13"/>
      <c r="L286" s="26">
        <f>Table13456781011121314151617181920212223242526272830[[#This Row],[الدولار]]+(Table13456781011121314151617181920212223242526272830[[#This Row],[اللبناني]]/90)</f>
        <v>0</v>
      </c>
      <c r="M286" s="6"/>
    </row>
    <row r="287" spans="8:13" s="8" customFormat="1" x14ac:dyDescent="0.3">
      <c r="H287" s="5" t="s">
        <v>144</v>
      </c>
      <c r="I287" s="21"/>
      <c r="J287" s="13"/>
      <c r="L287" s="26">
        <f>Table13456781011121314151617181920212223242526272830[[#This Row],[الدولار]]+(Table13456781011121314151617181920212223242526272830[[#This Row],[اللبناني]]/90)</f>
        <v>0</v>
      </c>
      <c r="M287" s="6"/>
    </row>
    <row r="288" spans="8:13" s="8" customFormat="1" x14ac:dyDescent="0.3">
      <c r="H288" s="5" t="s">
        <v>144</v>
      </c>
      <c r="I288" s="21"/>
      <c r="J288" s="13"/>
      <c r="L288" s="26">
        <f>Table13456781011121314151617181920212223242526272830[[#This Row],[الدولار]]+(Table13456781011121314151617181920212223242526272830[[#This Row],[اللبناني]]/90)</f>
        <v>0</v>
      </c>
      <c r="M288" s="6"/>
    </row>
    <row r="289" spans="8:13" s="8" customFormat="1" x14ac:dyDescent="0.3">
      <c r="H289" s="5" t="s">
        <v>144</v>
      </c>
      <c r="I289" s="21"/>
      <c r="J289" s="13"/>
      <c r="L289" s="26">
        <f>Table13456781011121314151617181920212223242526272830[[#This Row],[الدولار]]+(Table13456781011121314151617181920212223242526272830[[#This Row],[اللبناني]]/90)</f>
        <v>0</v>
      </c>
      <c r="M289" s="6"/>
    </row>
    <row r="290" spans="8:13" s="8" customFormat="1" x14ac:dyDescent="0.3">
      <c r="H290" s="5" t="s">
        <v>144</v>
      </c>
      <c r="I290" s="21"/>
      <c r="J290" s="13"/>
      <c r="L290" s="26">
        <f>Table13456781011121314151617181920212223242526272830[[#This Row],[الدولار]]+(Table13456781011121314151617181920212223242526272830[[#This Row],[اللبناني]]/90)</f>
        <v>0</v>
      </c>
      <c r="M290" s="6"/>
    </row>
    <row r="291" spans="8:13" s="8" customFormat="1" x14ac:dyDescent="0.3">
      <c r="H291" s="5" t="s">
        <v>144</v>
      </c>
      <c r="I291" s="21"/>
      <c r="J291" s="13"/>
      <c r="L291" s="26">
        <f>Table13456781011121314151617181920212223242526272830[[#This Row],[الدولار]]+(Table13456781011121314151617181920212223242526272830[[#This Row],[اللبناني]]/90)</f>
        <v>0</v>
      </c>
      <c r="M291" s="6"/>
    </row>
    <row r="292" spans="8:13" s="8" customFormat="1" x14ac:dyDescent="0.3">
      <c r="H292" s="5" t="s">
        <v>144</v>
      </c>
      <c r="I292" s="21"/>
      <c r="J292" s="13"/>
      <c r="L292" s="26">
        <f>Table13456781011121314151617181920212223242526272830[[#This Row],[الدولار]]+(Table13456781011121314151617181920212223242526272830[[#This Row],[اللبناني]]/90)</f>
        <v>0</v>
      </c>
      <c r="M292" s="6"/>
    </row>
    <row r="293" spans="8:13" s="8" customFormat="1" x14ac:dyDescent="0.3">
      <c r="H293" s="5" t="s">
        <v>144</v>
      </c>
      <c r="I293" s="21"/>
      <c r="J293" s="13"/>
      <c r="L293" s="26">
        <f>Table13456781011121314151617181920212223242526272830[[#This Row],[الدولار]]+(Table13456781011121314151617181920212223242526272830[[#This Row],[اللبناني]]/90)</f>
        <v>0</v>
      </c>
      <c r="M293" s="6"/>
    </row>
    <row r="294" spans="8:13" s="8" customFormat="1" x14ac:dyDescent="0.3">
      <c r="H294" s="5" t="s">
        <v>144</v>
      </c>
      <c r="I294" s="21"/>
      <c r="J294" s="13"/>
      <c r="L294" s="26">
        <f>Table13456781011121314151617181920212223242526272830[[#This Row],[الدولار]]+(Table13456781011121314151617181920212223242526272830[[#This Row],[اللبناني]]/90)</f>
        <v>0</v>
      </c>
      <c r="M294" s="6"/>
    </row>
    <row r="295" spans="8:13" s="8" customFormat="1" x14ac:dyDescent="0.3">
      <c r="H295" s="5" t="s">
        <v>144</v>
      </c>
      <c r="I295" s="21"/>
      <c r="J295" s="13"/>
      <c r="L295" s="26">
        <f>Table13456781011121314151617181920212223242526272830[[#This Row],[الدولار]]+(Table13456781011121314151617181920212223242526272830[[#This Row],[اللبناني]]/90)</f>
        <v>0</v>
      </c>
      <c r="M295" s="6"/>
    </row>
    <row r="296" spans="8:13" s="8" customFormat="1" x14ac:dyDescent="0.3">
      <c r="H296" s="5" t="s">
        <v>144</v>
      </c>
      <c r="I296" s="21"/>
      <c r="J296" s="13"/>
      <c r="L296" s="26">
        <f>Table13456781011121314151617181920212223242526272830[[#This Row],[الدولار]]+(Table13456781011121314151617181920212223242526272830[[#This Row],[اللبناني]]/90)</f>
        <v>0</v>
      </c>
      <c r="M296" s="6"/>
    </row>
    <row r="297" spans="8:13" s="8" customFormat="1" x14ac:dyDescent="0.3">
      <c r="H297" s="5" t="s">
        <v>144</v>
      </c>
      <c r="I297" s="21"/>
      <c r="J297" s="13"/>
      <c r="L297" s="26">
        <f>Table13456781011121314151617181920212223242526272830[[#This Row],[الدولار]]+(Table13456781011121314151617181920212223242526272830[[#This Row],[اللبناني]]/90)</f>
        <v>0</v>
      </c>
      <c r="M297" s="6"/>
    </row>
    <row r="298" spans="8:13" s="8" customFormat="1" x14ac:dyDescent="0.3">
      <c r="H298" s="5" t="s">
        <v>144</v>
      </c>
      <c r="I298" s="21"/>
      <c r="J298" s="13"/>
      <c r="L298" s="26">
        <f>Table13456781011121314151617181920212223242526272830[[#This Row],[الدولار]]+(Table13456781011121314151617181920212223242526272830[[#This Row],[اللبناني]]/90)</f>
        <v>0</v>
      </c>
      <c r="M298" s="6"/>
    </row>
    <row r="299" spans="8:13" s="8" customFormat="1" x14ac:dyDescent="0.3">
      <c r="H299" s="5" t="s">
        <v>144</v>
      </c>
      <c r="I299" s="21"/>
      <c r="J299" s="13"/>
      <c r="L299" s="26">
        <f>Table13456781011121314151617181920212223242526272830[[#This Row],[الدولار]]+(Table13456781011121314151617181920212223242526272830[[#This Row],[اللبناني]]/90)</f>
        <v>0</v>
      </c>
      <c r="M299" s="6"/>
    </row>
    <row r="300" spans="8:13" s="8" customFormat="1" x14ac:dyDescent="0.3">
      <c r="H300" s="5" t="s">
        <v>144</v>
      </c>
      <c r="I300" s="21"/>
      <c r="J300" s="13"/>
      <c r="L300" s="26">
        <f>Table13456781011121314151617181920212223242526272830[[#This Row],[الدولار]]+(Table13456781011121314151617181920212223242526272830[[#This Row],[اللبناني]]/90)</f>
        <v>0</v>
      </c>
      <c r="M300" s="6"/>
    </row>
    <row r="301" spans="8:13" s="8" customFormat="1" x14ac:dyDescent="0.3">
      <c r="H301" s="5" t="s">
        <v>144</v>
      </c>
      <c r="I301" s="21"/>
      <c r="J301" s="13"/>
      <c r="L301" s="26">
        <f>Table13456781011121314151617181920212223242526272830[[#This Row],[الدولار]]+(Table13456781011121314151617181920212223242526272830[[#This Row],[اللبناني]]/90)</f>
        <v>0</v>
      </c>
      <c r="M301" s="6"/>
    </row>
    <row r="302" spans="8:13" s="8" customFormat="1" x14ac:dyDescent="0.3">
      <c r="H302" s="5" t="s">
        <v>144</v>
      </c>
      <c r="I302" s="21"/>
      <c r="J302" s="13"/>
      <c r="L302" s="26">
        <f>Table13456781011121314151617181920212223242526272830[[#This Row],[الدولار]]+(Table13456781011121314151617181920212223242526272830[[#This Row],[اللبناني]]/90)</f>
        <v>0</v>
      </c>
      <c r="M302" s="6"/>
    </row>
    <row r="303" spans="8:13" s="8" customFormat="1" x14ac:dyDescent="0.3">
      <c r="H303" s="5" t="s">
        <v>144</v>
      </c>
      <c r="I303" s="21"/>
      <c r="J303" s="13"/>
      <c r="L303" s="26">
        <f>Table13456781011121314151617181920212223242526272830[[#This Row],[الدولار]]+(Table13456781011121314151617181920212223242526272830[[#This Row],[اللبناني]]/90)</f>
        <v>0</v>
      </c>
      <c r="M303" s="6"/>
    </row>
    <row r="304" spans="8:13" s="8" customFormat="1" x14ac:dyDescent="0.3">
      <c r="H304" s="5" t="s">
        <v>144</v>
      </c>
      <c r="I304" s="21"/>
      <c r="J304" s="13"/>
      <c r="L304" s="26">
        <f>Table13456781011121314151617181920212223242526272830[[#This Row],[الدولار]]+(Table13456781011121314151617181920212223242526272830[[#This Row],[اللبناني]]/90)</f>
        <v>0</v>
      </c>
      <c r="M304" s="6"/>
    </row>
    <row r="305" spans="8:13" s="8" customFormat="1" x14ac:dyDescent="0.3">
      <c r="H305" s="5" t="s">
        <v>144</v>
      </c>
      <c r="I305" s="21"/>
      <c r="J305" s="13"/>
      <c r="L305" s="26">
        <f>Table13456781011121314151617181920212223242526272830[[#This Row],[الدولار]]+(Table13456781011121314151617181920212223242526272830[[#This Row],[اللبناني]]/90)</f>
        <v>0</v>
      </c>
      <c r="M305" s="6"/>
    </row>
    <row r="306" spans="8:13" s="8" customFormat="1" x14ac:dyDescent="0.3">
      <c r="H306" s="5" t="s">
        <v>144</v>
      </c>
      <c r="I306" s="21"/>
      <c r="J306" s="13"/>
      <c r="L306" s="26">
        <f>Table13456781011121314151617181920212223242526272830[[#This Row],[الدولار]]+(Table13456781011121314151617181920212223242526272830[[#This Row],[اللبناني]]/90)</f>
        <v>0</v>
      </c>
      <c r="M306" s="6"/>
    </row>
    <row r="307" spans="8:13" s="8" customFormat="1" x14ac:dyDescent="0.3">
      <c r="H307" s="5" t="s">
        <v>144</v>
      </c>
      <c r="I307" s="21"/>
      <c r="J307" s="13"/>
      <c r="L307" s="26">
        <f>Table13456781011121314151617181920212223242526272830[[#This Row],[الدولار]]+(Table13456781011121314151617181920212223242526272830[[#This Row],[اللبناني]]/90)</f>
        <v>0</v>
      </c>
      <c r="M307" s="6"/>
    </row>
    <row r="308" spans="8:13" s="8" customFormat="1" x14ac:dyDescent="0.3">
      <c r="H308" s="5" t="s">
        <v>144</v>
      </c>
      <c r="I308" s="21"/>
      <c r="J308" s="13"/>
      <c r="L308" s="26">
        <f>Table13456781011121314151617181920212223242526272830[[#This Row],[الدولار]]+(Table13456781011121314151617181920212223242526272830[[#This Row],[اللبناني]]/90)</f>
        <v>0</v>
      </c>
      <c r="M308" s="6"/>
    </row>
    <row r="309" spans="8:13" s="8" customFormat="1" x14ac:dyDescent="0.3">
      <c r="H309" s="5" t="s">
        <v>144</v>
      </c>
      <c r="I309" s="21"/>
      <c r="J309" s="13"/>
      <c r="L309" s="26">
        <f>Table13456781011121314151617181920212223242526272830[[#This Row],[الدولار]]+(Table13456781011121314151617181920212223242526272830[[#This Row],[اللبناني]]/90)</f>
        <v>0</v>
      </c>
      <c r="M309" s="6"/>
    </row>
    <row r="310" spans="8:13" s="8" customFormat="1" x14ac:dyDescent="0.3">
      <c r="H310" s="5" t="s">
        <v>144</v>
      </c>
      <c r="I310" s="21"/>
      <c r="J310" s="13"/>
      <c r="L310" s="26">
        <f>Table13456781011121314151617181920212223242526272830[[#This Row],[الدولار]]+(Table13456781011121314151617181920212223242526272830[[#This Row],[اللبناني]]/90)</f>
        <v>0</v>
      </c>
      <c r="M310" s="6"/>
    </row>
    <row r="311" spans="8:13" s="8" customFormat="1" x14ac:dyDescent="0.3">
      <c r="H311" s="5" t="s">
        <v>144</v>
      </c>
      <c r="I311" s="21"/>
      <c r="J311" s="13"/>
      <c r="L311" s="26">
        <f>Table13456781011121314151617181920212223242526272830[[#This Row],[الدولار]]+(Table13456781011121314151617181920212223242526272830[[#This Row],[اللبناني]]/90)</f>
        <v>0</v>
      </c>
      <c r="M311" s="6"/>
    </row>
    <row r="312" spans="8:13" s="8" customFormat="1" x14ac:dyDescent="0.3">
      <c r="H312" s="5" t="s">
        <v>144</v>
      </c>
      <c r="I312" s="21"/>
      <c r="J312" s="13"/>
      <c r="L312" s="26">
        <f>Table13456781011121314151617181920212223242526272830[[#This Row],[الدولار]]+(Table13456781011121314151617181920212223242526272830[[#This Row],[اللبناني]]/90)</f>
        <v>0</v>
      </c>
      <c r="M312" s="6"/>
    </row>
    <row r="313" spans="8:13" s="8" customFormat="1" x14ac:dyDescent="0.3">
      <c r="H313" s="5" t="s">
        <v>144</v>
      </c>
      <c r="I313" s="21"/>
      <c r="J313" s="13"/>
      <c r="L313" s="26">
        <f>Table13456781011121314151617181920212223242526272830[[#This Row],[الدولار]]+(Table13456781011121314151617181920212223242526272830[[#This Row],[اللبناني]]/90)</f>
        <v>0</v>
      </c>
      <c r="M313" s="6"/>
    </row>
    <row r="314" spans="8:13" s="8" customFormat="1" x14ac:dyDescent="0.3">
      <c r="H314" s="5" t="s">
        <v>144</v>
      </c>
      <c r="I314" s="21"/>
      <c r="J314" s="13"/>
      <c r="L314" s="26">
        <f>Table13456781011121314151617181920212223242526272830[[#This Row],[الدولار]]+(Table13456781011121314151617181920212223242526272830[[#This Row],[اللبناني]]/90)</f>
        <v>0</v>
      </c>
      <c r="M314" s="6"/>
    </row>
    <row r="315" spans="8:13" s="8" customFormat="1" x14ac:dyDescent="0.3">
      <c r="H315" s="5" t="s">
        <v>144</v>
      </c>
      <c r="I315" s="21"/>
      <c r="J315" s="13"/>
      <c r="L315" s="26">
        <f>Table13456781011121314151617181920212223242526272830[[#This Row],[الدولار]]+(Table13456781011121314151617181920212223242526272830[[#This Row],[اللبناني]]/90)</f>
        <v>0</v>
      </c>
      <c r="M315" s="6"/>
    </row>
    <row r="316" spans="8:13" s="8" customFormat="1" x14ac:dyDescent="0.3">
      <c r="H316" s="5" t="s">
        <v>144</v>
      </c>
      <c r="I316" s="21"/>
      <c r="J316" s="13"/>
      <c r="L316" s="26">
        <f>Table13456781011121314151617181920212223242526272830[[#This Row],[الدولار]]+(Table13456781011121314151617181920212223242526272830[[#This Row],[اللبناني]]/90)</f>
        <v>0</v>
      </c>
      <c r="M316" s="6"/>
    </row>
    <row r="317" spans="8:13" s="8" customFormat="1" x14ac:dyDescent="0.3">
      <c r="H317" s="5" t="s">
        <v>144</v>
      </c>
      <c r="I317" s="21"/>
      <c r="J317" s="13"/>
      <c r="L317" s="26">
        <f>Table13456781011121314151617181920212223242526272830[[#This Row],[الدولار]]+(Table13456781011121314151617181920212223242526272830[[#This Row],[اللبناني]]/90)</f>
        <v>0</v>
      </c>
      <c r="M317" s="6"/>
    </row>
    <row r="318" spans="8:13" s="8" customFormat="1" x14ac:dyDescent="0.3">
      <c r="H318" s="5" t="s">
        <v>144</v>
      </c>
      <c r="I318" s="21"/>
      <c r="J318" s="13"/>
      <c r="L318" s="26">
        <f>Table13456781011121314151617181920212223242526272830[[#This Row],[الدولار]]+(Table13456781011121314151617181920212223242526272830[[#This Row],[اللبناني]]/90)</f>
        <v>0</v>
      </c>
      <c r="M318" s="6"/>
    </row>
    <row r="319" spans="8:13" s="8" customFormat="1" x14ac:dyDescent="0.3">
      <c r="H319" s="5" t="s">
        <v>144</v>
      </c>
      <c r="I319" s="21"/>
      <c r="J319" s="13"/>
      <c r="L319" s="26">
        <f>Table13456781011121314151617181920212223242526272830[[#This Row],[الدولار]]+(Table13456781011121314151617181920212223242526272830[[#This Row],[اللبناني]]/90)</f>
        <v>0</v>
      </c>
      <c r="M319" s="6"/>
    </row>
    <row r="320" spans="8:13" s="8" customFormat="1" x14ac:dyDescent="0.3">
      <c r="H320" s="5" t="s">
        <v>144</v>
      </c>
      <c r="I320" s="21"/>
      <c r="J320" s="13"/>
      <c r="L320" s="26">
        <f>Table13456781011121314151617181920212223242526272830[[#This Row],[الدولار]]+(Table13456781011121314151617181920212223242526272830[[#This Row],[اللبناني]]/90)</f>
        <v>0</v>
      </c>
      <c r="M320" s="6"/>
    </row>
    <row r="321" spans="8:13" s="8" customFormat="1" x14ac:dyDescent="0.3">
      <c r="H321" s="5" t="s">
        <v>144</v>
      </c>
      <c r="I321" s="21"/>
      <c r="J321" s="13"/>
      <c r="L321" s="26">
        <f>Table13456781011121314151617181920212223242526272830[[#This Row],[الدولار]]+(Table13456781011121314151617181920212223242526272830[[#This Row],[اللبناني]]/90)</f>
        <v>0</v>
      </c>
      <c r="M321" s="6"/>
    </row>
    <row r="322" spans="8:13" s="8" customFormat="1" x14ac:dyDescent="0.3">
      <c r="H322" s="5" t="s">
        <v>144</v>
      </c>
      <c r="I322" s="21"/>
      <c r="J322" s="13"/>
      <c r="L322" s="26">
        <f>Table13456781011121314151617181920212223242526272830[[#This Row],[الدولار]]+(Table13456781011121314151617181920212223242526272830[[#This Row],[اللبناني]]/90)</f>
        <v>0</v>
      </c>
      <c r="M322" s="6"/>
    </row>
    <row r="323" spans="8:13" s="8" customFormat="1" x14ac:dyDescent="0.3">
      <c r="H323" s="5" t="s">
        <v>144</v>
      </c>
      <c r="I323" s="21"/>
      <c r="J323" s="13"/>
      <c r="L323" s="26">
        <f>Table13456781011121314151617181920212223242526272830[[#This Row],[الدولار]]+(Table13456781011121314151617181920212223242526272830[[#This Row],[اللبناني]]/90)</f>
        <v>0</v>
      </c>
      <c r="M323" s="6"/>
    </row>
    <row r="324" spans="8:13" s="8" customFormat="1" x14ac:dyDescent="0.3">
      <c r="H324" s="5" t="s">
        <v>144</v>
      </c>
      <c r="I324" s="21"/>
      <c r="J324" s="13"/>
      <c r="L324" s="26">
        <f>Table13456781011121314151617181920212223242526272830[[#This Row],[الدولار]]+(Table13456781011121314151617181920212223242526272830[[#This Row],[اللبناني]]/90)</f>
        <v>0</v>
      </c>
      <c r="M324" s="6"/>
    </row>
    <row r="325" spans="8:13" s="8" customFormat="1" x14ac:dyDescent="0.3">
      <c r="H325" s="5" t="s">
        <v>144</v>
      </c>
      <c r="I325" s="21"/>
      <c r="J325" s="13"/>
      <c r="L325" s="26">
        <f>Table13456781011121314151617181920212223242526272830[[#This Row],[الدولار]]+(Table13456781011121314151617181920212223242526272830[[#This Row],[اللبناني]]/90)</f>
        <v>0</v>
      </c>
      <c r="M325" s="6"/>
    </row>
    <row r="326" spans="8:13" s="8" customFormat="1" x14ac:dyDescent="0.3">
      <c r="H326" s="5" t="s">
        <v>144</v>
      </c>
      <c r="I326" s="21"/>
      <c r="J326" s="13"/>
      <c r="L326" s="26">
        <f>Table13456781011121314151617181920212223242526272830[[#This Row],[الدولار]]+(Table13456781011121314151617181920212223242526272830[[#This Row],[اللبناني]]/90)</f>
        <v>0</v>
      </c>
      <c r="M326" s="6"/>
    </row>
    <row r="327" spans="8:13" s="8" customFormat="1" x14ac:dyDescent="0.3">
      <c r="H327" s="5" t="s">
        <v>144</v>
      </c>
      <c r="I327" s="21"/>
      <c r="J327" s="13"/>
      <c r="L327" s="26">
        <f>Table13456781011121314151617181920212223242526272830[[#This Row],[الدولار]]+(Table13456781011121314151617181920212223242526272830[[#This Row],[اللبناني]]/90)</f>
        <v>0</v>
      </c>
      <c r="M327" s="6"/>
    </row>
    <row r="328" spans="8:13" s="8" customFormat="1" x14ac:dyDescent="0.3">
      <c r="H328" s="5" t="s">
        <v>144</v>
      </c>
      <c r="I328" s="21"/>
      <c r="J328" s="13"/>
      <c r="L328" s="26">
        <f>Table13456781011121314151617181920212223242526272830[[#This Row],[الدولار]]+(Table13456781011121314151617181920212223242526272830[[#This Row],[اللبناني]]/90)</f>
        <v>0</v>
      </c>
      <c r="M328" s="6"/>
    </row>
    <row r="329" spans="8:13" s="8" customFormat="1" x14ac:dyDescent="0.3">
      <c r="H329" s="5" t="s">
        <v>144</v>
      </c>
      <c r="I329" s="21"/>
      <c r="J329" s="13"/>
      <c r="L329" s="26">
        <f>Table13456781011121314151617181920212223242526272830[[#This Row],[الدولار]]+(Table13456781011121314151617181920212223242526272830[[#This Row],[اللبناني]]/90)</f>
        <v>0</v>
      </c>
      <c r="M329" s="6"/>
    </row>
    <row r="330" spans="8:13" s="8" customFormat="1" x14ac:dyDescent="0.3">
      <c r="H330" s="5" t="s">
        <v>144</v>
      </c>
      <c r="I330" s="21"/>
      <c r="J330" s="13"/>
      <c r="L330" s="26">
        <f>Table13456781011121314151617181920212223242526272830[[#This Row],[الدولار]]+(Table13456781011121314151617181920212223242526272830[[#This Row],[اللبناني]]/90)</f>
        <v>0</v>
      </c>
      <c r="M330" s="6"/>
    </row>
    <row r="331" spans="8:13" s="8" customFormat="1" x14ac:dyDescent="0.3">
      <c r="H331" s="5" t="s">
        <v>144</v>
      </c>
      <c r="I331" s="21"/>
      <c r="J331" s="13"/>
      <c r="L331" s="26">
        <f>Table13456781011121314151617181920212223242526272830[[#This Row],[الدولار]]+(Table13456781011121314151617181920212223242526272830[[#This Row],[اللبناني]]/90)</f>
        <v>0</v>
      </c>
      <c r="M331" s="6"/>
    </row>
    <row r="332" spans="8:13" s="8" customFormat="1" x14ac:dyDescent="0.3">
      <c r="H332" s="5" t="s">
        <v>144</v>
      </c>
      <c r="I332" s="21"/>
      <c r="J332" s="13"/>
      <c r="L332" s="26">
        <f>Table13456781011121314151617181920212223242526272830[[#This Row],[الدولار]]+(Table13456781011121314151617181920212223242526272830[[#This Row],[اللبناني]]/90)</f>
        <v>0</v>
      </c>
      <c r="M332" s="6"/>
    </row>
    <row r="333" spans="8:13" s="8" customFormat="1" x14ac:dyDescent="0.3">
      <c r="H333" s="5" t="s">
        <v>144</v>
      </c>
      <c r="I333" s="21"/>
      <c r="J333" s="13"/>
      <c r="L333" s="26">
        <f>Table13456781011121314151617181920212223242526272830[[#This Row],[الدولار]]+(Table13456781011121314151617181920212223242526272830[[#This Row],[اللبناني]]/90)</f>
        <v>0</v>
      </c>
      <c r="M333" s="6"/>
    </row>
    <row r="334" spans="8:13" s="8" customFormat="1" x14ac:dyDescent="0.3">
      <c r="H334" s="5" t="s">
        <v>144</v>
      </c>
      <c r="I334" s="21"/>
      <c r="J334" s="13"/>
      <c r="L334" s="26">
        <f>Table13456781011121314151617181920212223242526272830[[#This Row],[الدولار]]+(Table13456781011121314151617181920212223242526272830[[#This Row],[اللبناني]]/90)</f>
        <v>0</v>
      </c>
      <c r="M334" s="6"/>
    </row>
    <row r="335" spans="8:13" s="8" customFormat="1" x14ac:dyDescent="0.3">
      <c r="H335" s="5" t="s">
        <v>144</v>
      </c>
      <c r="I335" s="21"/>
      <c r="J335" s="13"/>
      <c r="L335" s="26">
        <f>Table13456781011121314151617181920212223242526272830[[#This Row],[الدولار]]+(Table13456781011121314151617181920212223242526272830[[#This Row],[اللبناني]]/90)</f>
        <v>0</v>
      </c>
      <c r="M335" s="6"/>
    </row>
    <row r="336" spans="8:13" s="8" customFormat="1" x14ac:dyDescent="0.3">
      <c r="H336" s="5" t="s">
        <v>144</v>
      </c>
      <c r="I336" s="21"/>
      <c r="J336" s="13"/>
      <c r="L336" s="26">
        <f>Table13456781011121314151617181920212223242526272830[[#This Row],[الدولار]]+(Table13456781011121314151617181920212223242526272830[[#This Row],[اللبناني]]/90)</f>
        <v>0</v>
      </c>
      <c r="M336" s="6"/>
    </row>
    <row r="337" spans="8:13" s="8" customFormat="1" x14ac:dyDescent="0.3">
      <c r="H337" s="5" t="s">
        <v>144</v>
      </c>
      <c r="I337" s="21"/>
      <c r="J337" s="13"/>
      <c r="L337" s="26">
        <f>Table13456781011121314151617181920212223242526272830[[#This Row],[الدولار]]+(Table13456781011121314151617181920212223242526272830[[#This Row],[اللبناني]]/90)</f>
        <v>0</v>
      </c>
      <c r="M337" s="6"/>
    </row>
    <row r="338" spans="8:13" s="8" customFormat="1" x14ac:dyDescent="0.3">
      <c r="H338" s="5" t="s">
        <v>144</v>
      </c>
      <c r="I338" s="21"/>
      <c r="J338" s="13"/>
      <c r="L338" s="26">
        <f>Table13456781011121314151617181920212223242526272830[[#This Row],[الدولار]]+(Table13456781011121314151617181920212223242526272830[[#This Row],[اللبناني]]/90)</f>
        <v>0</v>
      </c>
      <c r="M338" s="6"/>
    </row>
    <row r="339" spans="8:13" s="8" customFormat="1" x14ac:dyDescent="0.3">
      <c r="H339" s="5" t="s">
        <v>144</v>
      </c>
      <c r="I339" s="21"/>
      <c r="J339" s="13"/>
      <c r="L339" s="26">
        <f>Table13456781011121314151617181920212223242526272830[[#This Row],[الدولار]]+(Table13456781011121314151617181920212223242526272830[[#This Row],[اللبناني]]/90)</f>
        <v>0</v>
      </c>
      <c r="M339" s="6"/>
    </row>
    <row r="340" spans="8:13" s="8" customFormat="1" x14ac:dyDescent="0.3">
      <c r="H340" s="5" t="s">
        <v>144</v>
      </c>
      <c r="I340" s="21"/>
      <c r="J340" s="13"/>
      <c r="L340" s="26">
        <f>Table13456781011121314151617181920212223242526272830[[#This Row],[الدولار]]+(Table13456781011121314151617181920212223242526272830[[#This Row],[اللبناني]]/90)</f>
        <v>0</v>
      </c>
      <c r="M340" s="6"/>
    </row>
    <row r="341" spans="8:13" s="8" customFormat="1" x14ac:dyDescent="0.3">
      <c r="H341" s="5" t="s">
        <v>144</v>
      </c>
      <c r="I341" s="21"/>
      <c r="J341" s="13"/>
      <c r="L341" s="26">
        <f>Table13456781011121314151617181920212223242526272830[[#This Row],[الدولار]]+(Table13456781011121314151617181920212223242526272830[[#This Row],[اللبناني]]/90)</f>
        <v>0</v>
      </c>
      <c r="M341" s="6"/>
    </row>
    <row r="342" spans="8:13" s="8" customFormat="1" x14ac:dyDescent="0.3">
      <c r="H342" s="5" t="s">
        <v>144</v>
      </c>
      <c r="I342" s="21"/>
      <c r="J342" s="13"/>
      <c r="L342" s="26">
        <f>Table13456781011121314151617181920212223242526272830[[#This Row],[الدولار]]+(Table13456781011121314151617181920212223242526272830[[#This Row],[اللبناني]]/90)</f>
        <v>0</v>
      </c>
      <c r="M342" s="6"/>
    </row>
    <row r="343" spans="8:13" s="8" customFormat="1" x14ac:dyDescent="0.3">
      <c r="H343" s="5" t="s">
        <v>144</v>
      </c>
      <c r="I343" s="21"/>
      <c r="J343" s="13"/>
      <c r="L343" s="26">
        <f>Table13456781011121314151617181920212223242526272830[[#This Row],[الدولار]]+(Table13456781011121314151617181920212223242526272830[[#This Row],[اللبناني]]/90)</f>
        <v>0</v>
      </c>
      <c r="M343" s="6"/>
    </row>
    <row r="344" spans="8:13" s="8" customFormat="1" x14ac:dyDescent="0.3">
      <c r="H344" s="5" t="s">
        <v>144</v>
      </c>
      <c r="I344" s="21"/>
      <c r="J344" s="13"/>
      <c r="L344" s="26">
        <f>Table13456781011121314151617181920212223242526272830[[#This Row],[الدولار]]+(Table13456781011121314151617181920212223242526272830[[#This Row],[اللبناني]]/90)</f>
        <v>0</v>
      </c>
      <c r="M344" s="6"/>
    </row>
    <row r="345" spans="8:13" s="8" customFormat="1" x14ac:dyDescent="0.3">
      <c r="H345" s="5" t="s">
        <v>144</v>
      </c>
      <c r="I345" s="21"/>
      <c r="J345" s="13"/>
      <c r="L345" s="26">
        <f>Table13456781011121314151617181920212223242526272830[[#This Row],[الدولار]]+(Table13456781011121314151617181920212223242526272830[[#This Row],[اللبناني]]/90)</f>
        <v>0</v>
      </c>
      <c r="M345" s="6"/>
    </row>
    <row r="346" spans="8:13" s="8" customFormat="1" x14ac:dyDescent="0.3">
      <c r="H346" s="5" t="s">
        <v>144</v>
      </c>
      <c r="I346" s="21"/>
      <c r="J346" s="13"/>
      <c r="L346" s="26">
        <f>Table13456781011121314151617181920212223242526272830[[#This Row],[الدولار]]+(Table13456781011121314151617181920212223242526272830[[#This Row],[اللبناني]]/90)</f>
        <v>0</v>
      </c>
      <c r="M346" s="6"/>
    </row>
    <row r="347" spans="8:13" s="8" customFormat="1" x14ac:dyDescent="0.3">
      <c r="H347" s="5" t="s">
        <v>144</v>
      </c>
      <c r="I347" s="21"/>
      <c r="J347" s="13"/>
      <c r="L347" s="26">
        <f>Table13456781011121314151617181920212223242526272830[[#This Row],[الدولار]]+(Table13456781011121314151617181920212223242526272830[[#This Row],[اللبناني]]/90)</f>
        <v>0</v>
      </c>
      <c r="M347" s="6"/>
    </row>
    <row r="348" spans="8:13" s="8" customFormat="1" x14ac:dyDescent="0.3">
      <c r="H348" s="5" t="s">
        <v>144</v>
      </c>
      <c r="I348" s="21"/>
      <c r="J348" s="13"/>
      <c r="L348" s="26">
        <f>Table13456781011121314151617181920212223242526272830[[#This Row],[الدولار]]+(Table13456781011121314151617181920212223242526272830[[#This Row],[اللبناني]]/90)</f>
        <v>0</v>
      </c>
      <c r="M348" s="6"/>
    </row>
    <row r="349" spans="8:13" s="8" customFormat="1" x14ac:dyDescent="0.3">
      <c r="H349" s="5" t="s">
        <v>144</v>
      </c>
      <c r="I349" s="21"/>
      <c r="J349" s="13"/>
      <c r="L349" s="26">
        <f>Table13456781011121314151617181920212223242526272830[[#This Row],[الدولار]]+(Table13456781011121314151617181920212223242526272830[[#This Row],[اللبناني]]/90)</f>
        <v>0</v>
      </c>
      <c r="M349" s="6"/>
    </row>
    <row r="350" spans="8:13" s="8" customFormat="1" x14ac:dyDescent="0.3">
      <c r="H350" s="5" t="s">
        <v>144</v>
      </c>
      <c r="I350" s="21"/>
      <c r="J350" s="13"/>
      <c r="L350" s="26">
        <f>Table13456781011121314151617181920212223242526272830[[#This Row],[الدولار]]+(Table13456781011121314151617181920212223242526272830[[#This Row],[اللبناني]]/90)</f>
        <v>0</v>
      </c>
      <c r="M350" s="6"/>
    </row>
    <row r="351" spans="8:13" s="8" customFormat="1" x14ac:dyDescent="0.3">
      <c r="H351" s="5" t="s">
        <v>144</v>
      </c>
      <c r="I351" s="21"/>
      <c r="J351" s="13"/>
      <c r="L351" s="26">
        <f>Table13456781011121314151617181920212223242526272830[[#This Row],[الدولار]]+(Table13456781011121314151617181920212223242526272830[[#This Row],[اللبناني]]/90)</f>
        <v>0</v>
      </c>
      <c r="M351" s="6"/>
    </row>
    <row r="352" spans="8:13" s="8" customFormat="1" x14ac:dyDescent="0.3">
      <c r="H352" s="5" t="s">
        <v>144</v>
      </c>
      <c r="I352" s="21"/>
      <c r="J352" s="13"/>
      <c r="L352" s="26">
        <f>Table13456781011121314151617181920212223242526272830[[#This Row],[الدولار]]+(Table13456781011121314151617181920212223242526272830[[#This Row],[اللبناني]]/90)</f>
        <v>0</v>
      </c>
      <c r="M352" s="6"/>
    </row>
    <row r="353" spans="8:13" s="8" customFormat="1" x14ac:dyDescent="0.3">
      <c r="H353" s="5" t="s">
        <v>144</v>
      </c>
      <c r="I353" s="21"/>
      <c r="J353" s="13"/>
      <c r="L353" s="26">
        <f>Table13456781011121314151617181920212223242526272830[[#This Row],[الدولار]]+(Table13456781011121314151617181920212223242526272830[[#This Row],[اللبناني]]/90)</f>
        <v>0</v>
      </c>
      <c r="M353" s="6"/>
    </row>
    <row r="354" spans="8:13" s="8" customFormat="1" x14ac:dyDescent="0.3">
      <c r="H354" s="5" t="s">
        <v>144</v>
      </c>
      <c r="I354" s="21"/>
      <c r="J354" s="13"/>
      <c r="L354" s="26">
        <f>Table13456781011121314151617181920212223242526272830[[#This Row],[الدولار]]+(Table13456781011121314151617181920212223242526272830[[#This Row],[اللبناني]]/90)</f>
        <v>0</v>
      </c>
      <c r="M354" s="6"/>
    </row>
    <row r="355" spans="8:13" s="8" customFormat="1" x14ac:dyDescent="0.3">
      <c r="H355" s="5" t="s">
        <v>144</v>
      </c>
      <c r="I355" s="21"/>
      <c r="J355" s="13"/>
      <c r="L355" s="26">
        <f>Table13456781011121314151617181920212223242526272830[[#This Row],[الدولار]]+(Table13456781011121314151617181920212223242526272830[[#This Row],[اللبناني]]/90)</f>
        <v>0</v>
      </c>
      <c r="M355" s="6"/>
    </row>
    <row r="356" spans="8:13" s="8" customFormat="1" x14ac:dyDescent="0.3">
      <c r="H356" s="5" t="s">
        <v>144</v>
      </c>
      <c r="I356" s="21"/>
      <c r="J356" s="13"/>
      <c r="L356" s="26">
        <f>Table13456781011121314151617181920212223242526272830[[#This Row],[الدولار]]+(Table13456781011121314151617181920212223242526272830[[#This Row],[اللبناني]]/90)</f>
        <v>0</v>
      </c>
      <c r="M356" s="6"/>
    </row>
    <row r="357" spans="8:13" s="8" customFormat="1" x14ac:dyDescent="0.3">
      <c r="H357" s="5" t="s">
        <v>144</v>
      </c>
      <c r="I357" s="21"/>
      <c r="J357" s="13"/>
      <c r="L357" s="26">
        <f>Table13456781011121314151617181920212223242526272830[[#This Row],[الدولار]]+(Table13456781011121314151617181920212223242526272830[[#This Row],[اللبناني]]/90)</f>
        <v>0</v>
      </c>
      <c r="M357" s="6"/>
    </row>
    <row r="358" spans="8:13" s="8" customFormat="1" x14ac:dyDescent="0.3">
      <c r="H358" s="5" t="s">
        <v>144</v>
      </c>
      <c r="I358" s="21"/>
      <c r="J358" s="13"/>
      <c r="L358" s="26">
        <f>Table13456781011121314151617181920212223242526272830[[#This Row],[الدولار]]+(Table13456781011121314151617181920212223242526272830[[#This Row],[اللبناني]]/90)</f>
        <v>0</v>
      </c>
      <c r="M358" s="6"/>
    </row>
    <row r="359" spans="8:13" s="8" customFormat="1" x14ac:dyDescent="0.3">
      <c r="H359" s="5" t="s">
        <v>144</v>
      </c>
      <c r="I359" s="21"/>
      <c r="J359" s="13"/>
      <c r="L359" s="26">
        <f>Table13456781011121314151617181920212223242526272830[[#This Row],[الدولار]]+(Table13456781011121314151617181920212223242526272830[[#This Row],[اللبناني]]/90)</f>
        <v>0</v>
      </c>
      <c r="M359" s="6"/>
    </row>
    <row r="360" spans="8:13" s="8" customFormat="1" x14ac:dyDescent="0.3">
      <c r="H360" s="5" t="s">
        <v>144</v>
      </c>
      <c r="I360" s="21"/>
      <c r="J360" s="13"/>
      <c r="L360" s="26">
        <f>Table13456781011121314151617181920212223242526272830[[#This Row],[الدولار]]+(Table13456781011121314151617181920212223242526272830[[#This Row],[اللبناني]]/90)</f>
        <v>0</v>
      </c>
      <c r="M360" s="6"/>
    </row>
    <row r="361" spans="8:13" s="8" customFormat="1" x14ac:dyDescent="0.3">
      <c r="H361" s="5" t="s">
        <v>144</v>
      </c>
      <c r="I361" s="21"/>
      <c r="J361" s="13"/>
      <c r="L361" s="26">
        <f>Table13456781011121314151617181920212223242526272830[[#This Row],[الدولار]]+(Table13456781011121314151617181920212223242526272830[[#This Row],[اللبناني]]/90)</f>
        <v>0</v>
      </c>
      <c r="M361" s="6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.3" footer="0.3"/>
  <pageSetup paperSize="9" scale="65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6ECC4-A347-439E-BC1F-C3BB15F7D663}">
  <sheetPr>
    <pageSetUpPr fitToPage="1"/>
  </sheetPr>
  <dimension ref="A1:S361"/>
  <sheetViews>
    <sheetView rightToLeft="1" topLeftCell="A54" zoomScale="115" zoomScaleNormal="115" workbookViewId="0">
      <selection activeCell="I71" sqref="I71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8.44140625" style="2" bestFit="1" customWidth="1"/>
    <col min="4" max="4" width="10.44140625" style="2" customWidth="1"/>
    <col min="5" max="5" width="7" style="2" customWidth="1"/>
    <col min="6" max="6" width="11.44140625" style="2" bestFit="1" customWidth="1"/>
    <col min="7" max="7" width="2.44140625" style="2" customWidth="1"/>
    <col min="8" max="8" width="8.88671875" style="2" bestFit="1" customWidth="1"/>
    <col min="9" max="9" width="17.88671875" style="21" customWidth="1"/>
    <col min="10" max="10" width="12.109375" style="7" bestFit="1" customWidth="1"/>
    <col min="11" max="11" width="8.5546875" style="8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1.109375" style="2" bestFit="1" customWidth="1"/>
    <col min="20" max="16384" width="8.88671875" style="2"/>
  </cols>
  <sheetData>
    <row r="1" spans="1:19" x14ac:dyDescent="0.3">
      <c r="I1" s="21" t="s">
        <v>22</v>
      </c>
      <c r="J1" s="7">
        <f>SUM(J3:J18)</f>
        <v>-520</v>
      </c>
      <c r="K1" s="7">
        <f>SUM(K3:K18)</f>
        <v>270</v>
      </c>
      <c r="L1" s="7">
        <f>SUM(L3:L18)</f>
        <v>264.22222222222223</v>
      </c>
    </row>
    <row r="2" spans="1:19" x14ac:dyDescent="0.3">
      <c r="H2" s="2" t="s">
        <v>136</v>
      </c>
      <c r="I2" s="22" t="s">
        <v>6</v>
      </c>
      <c r="J2" s="3" t="s">
        <v>5</v>
      </c>
      <c r="K2" s="9" t="s">
        <v>4</v>
      </c>
      <c r="L2" s="9" t="s">
        <v>125</v>
      </c>
    </row>
    <row r="3" spans="1:19" x14ac:dyDescent="0.3">
      <c r="H3" s="5" t="s">
        <v>144</v>
      </c>
      <c r="I3" s="23"/>
      <c r="J3" s="15"/>
      <c r="K3" s="8">
        <v>60</v>
      </c>
      <c r="L3" s="26">
        <f t="shared" ref="L3:L18" si="0">K3+(J3/90)</f>
        <v>60</v>
      </c>
    </row>
    <row r="4" spans="1:19" x14ac:dyDescent="0.3">
      <c r="H4" s="5" t="s">
        <v>144</v>
      </c>
      <c r="I4" s="23"/>
      <c r="J4" s="15">
        <v>180</v>
      </c>
      <c r="L4" s="26">
        <f t="shared" si="0"/>
        <v>2</v>
      </c>
    </row>
    <row r="5" spans="1:19" x14ac:dyDescent="0.3">
      <c r="H5" s="5" t="s">
        <v>144</v>
      </c>
      <c r="I5" s="23"/>
      <c r="J5" s="15">
        <v>-700</v>
      </c>
      <c r="K5" s="8">
        <v>10</v>
      </c>
      <c r="L5" s="26">
        <f t="shared" si="0"/>
        <v>2.2222222222222223</v>
      </c>
    </row>
    <row r="6" spans="1:19" x14ac:dyDescent="0.3">
      <c r="H6" s="5" t="s">
        <v>144</v>
      </c>
      <c r="I6" s="23"/>
      <c r="J6" s="15"/>
      <c r="K6" s="8">
        <v>100</v>
      </c>
      <c r="L6" s="26">
        <f t="shared" si="0"/>
        <v>100</v>
      </c>
    </row>
    <row r="7" spans="1:19" x14ac:dyDescent="0.3">
      <c r="H7" s="5" t="s">
        <v>144</v>
      </c>
      <c r="I7" s="23"/>
      <c r="J7" s="15"/>
      <c r="K7" s="8">
        <v>100</v>
      </c>
      <c r="L7" s="26">
        <f t="shared" si="0"/>
        <v>100</v>
      </c>
    </row>
    <row r="8" spans="1:19" x14ac:dyDescent="0.3">
      <c r="H8" s="5" t="s">
        <v>144</v>
      </c>
      <c r="I8" s="23"/>
      <c r="J8" s="15"/>
      <c r="L8" s="26">
        <f t="shared" si="0"/>
        <v>0</v>
      </c>
    </row>
    <row r="9" spans="1:19" x14ac:dyDescent="0.3">
      <c r="H9" s="5" t="s">
        <v>144</v>
      </c>
      <c r="I9" s="23"/>
      <c r="J9" s="15"/>
      <c r="L9" s="26">
        <f t="shared" si="0"/>
        <v>0</v>
      </c>
    </row>
    <row r="10" spans="1:19" x14ac:dyDescent="0.3">
      <c r="H10" s="5" t="s">
        <v>144</v>
      </c>
      <c r="I10" s="23"/>
      <c r="J10" s="15"/>
      <c r="L10" s="26">
        <f t="shared" si="0"/>
        <v>0</v>
      </c>
    </row>
    <row r="11" spans="1:19" s="6" customFormat="1" x14ac:dyDescent="0.3">
      <c r="A11" s="2"/>
      <c r="B11" s="2"/>
      <c r="C11" s="2"/>
      <c r="D11" s="2"/>
      <c r="E11" s="2"/>
      <c r="F11" s="2"/>
      <c r="G11" s="2"/>
      <c r="H11" s="5" t="s">
        <v>144</v>
      </c>
      <c r="I11" s="24"/>
      <c r="J11" s="15"/>
      <c r="K11" s="8"/>
      <c r="L11" s="26">
        <f t="shared" si="0"/>
        <v>0</v>
      </c>
      <c r="N11" s="2"/>
      <c r="O11" s="2"/>
      <c r="P11" s="2"/>
      <c r="Q11" s="2"/>
      <c r="R11" s="2"/>
      <c r="S11" s="2"/>
    </row>
    <row r="12" spans="1:19" s="6" customFormat="1" x14ac:dyDescent="0.3">
      <c r="A12" s="2"/>
      <c r="B12" s="2"/>
      <c r="C12" s="2"/>
      <c r="D12" s="2"/>
      <c r="E12" s="2"/>
      <c r="F12" s="2"/>
      <c r="G12" s="2"/>
      <c r="H12" s="5" t="s">
        <v>144</v>
      </c>
      <c r="I12" s="23"/>
      <c r="J12" s="15"/>
      <c r="K12" s="8"/>
      <c r="L12" s="26">
        <f t="shared" si="0"/>
        <v>0</v>
      </c>
      <c r="N12" s="2"/>
      <c r="O12" s="2"/>
      <c r="P12" s="2"/>
      <c r="Q12" s="2"/>
      <c r="R12" s="2"/>
      <c r="S12" s="2"/>
    </row>
    <row r="13" spans="1:19" s="6" customFormat="1" x14ac:dyDescent="0.3">
      <c r="A13" s="2"/>
      <c r="B13" s="2"/>
      <c r="C13" s="2"/>
      <c r="D13" s="2"/>
      <c r="E13" s="2"/>
      <c r="F13" s="2"/>
      <c r="G13" s="2"/>
      <c r="H13" s="5" t="s">
        <v>144</v>
      </c>
      <c r="I13" s="23"/>
      <c r="J13" s="15"/>
      <c r="K13" s="8"/>
      <c r="L13" s="26">
        <f t="shared" si="0"/>
        <v>0</v>
      </c>
      <c r="N13" s="2"/>
      <c r="O13" s="2"/>
      <c r="P13" s="2"/>
      <c r="Q13" s="2"/>
      <c r="R13" s="2"/>
      <c r="S13" s="2"/>
    </row>
    <row r="14" spans="1:19" s="6" customFormat="1" x14ac:dyDescent="0.3">
      <c r="A14" s="2"/>
      <c r="B14" s="2"/>
      <c r="C14" s="2"/>
      <c r="D14" s="2"/>
      <c r="E14" s="2"/>
      <c r="F14" s="2"/>
      <c r="G14" s="2"/>
      <c r="H14" s="5" t="s">
        <v>144</v>
      </c>
      <c r="I14" s="23"/>
      <c r="J14" s="15"/>
      <c r="K14" s="8"/>
      <c r="L14" s="26">
        <f t="shared" si="0"/>
        <v>0</v>
      </c>
      <c r="N14" s="2"/>
      <c r="O14" s="2"/>
      <c r="P14" s="2"/>
      <c r="Q14" s="2"/>
      <c r="R14" s="2"/>
      <c r="S14" s="2"/>
    </row>
    <row r="15" spans="1:19" s="6" customFormat="1" x14ac:dyDescent="0.3">
      <c r="A15" s="2"/>
      <c r="B15" s="2"/>
      <c r="C15" s="2"/>
      <c r="D15" s="2"/>
      <c r="E15" s="2"/>
      <c r="F15" s="2"/>
      <c r="G15" s="2"/>
      <c r="H15" s="5" t="s">
        <v>144</v>
      </c>
      <c r="I15" s="23"/>
      <c r="J15" s="15"/>
      <c r="K15" s="8"/>
      <c r="L15" s="26">
        <f t="shared" si="0"/>
        <v>0</v>
      </c>
      <c r="N15" s="2"/>
      <c r="O15" s="2"/>
      <c r="P15" s="2"/>
      <c r="Q15" s="2"/>
      <c r="R15" s="2"/>
      <c r="S15" s="2"/>
    </row>
    <row r="16" spans="1:19" s="6" customFormat="1" x14ac:dyDescent="0.3">
      <c r="A16" s="2"/>
      <c r="B16" s="2"/>
      <c r="C16" s="2"/>
      <c r="D16" s="2"/>
      <c r="E16" s="2"/>
      <c r="F16" s="2"/>
      <c r="G16" s="2"/>
      <c r="H16" s="5" t="s">
        <v>144</v>
      </c>
      <c r="I16" s="23"/>
      <c r="J16" s="15"/>
      <c r="K16" s="8"/>
      <c r="L16" s="26">
        <f t="shared" si="0"/>
        <v>0</v>
      </c>
      <c r="N16" s="2"/>
      <c r="O16" s="2"/>
      <c r="P16" s="2"/>
      <c r="Q16" s="2"/>
      <c r="R16" s="2"/>
      <c r="S16" s="2"/>
    </row>
    <row r="17" spans="1:19" s="6" customFormat="1" x14ac:dyDescent="0.3">
      <c r="A17" s="2"/>
      <c r="B17" s="2"/>
      <c r="C17" s="2"/>
      <c r="D17" s="2"/>
      <c r="E17" s="2"/>
      <c r="F17" s="2"/>
      <c r="G17" s="2"/>
      <c r="H17" s="5" t="s">
        <v>144</v>
      </c>
      <c r="I17" s="23"/>
      <c r="J17" s="15"/>
      <c r="K17" s="8"/>
      <c r="L17" s="26">
        <f t="shared" si="0"/>
        <v>0</v>
      </c>
      <c r="N17" s="2"/>
      <c r="O17" s="2"/>
      <c r="P17" s="2"/>
      <c r="Q17" s="2"/>
      <c r="R17" s="2"/>
      <c r="S17" s="2"/>
    </row>
    <row r="18" spans="1:19" s="6" customFormat="1" x14ac:dyDescent="0.3">
      <c r="A18" s="2" t="s">
        <v>240</v>
      </c>
      <c r="B18" s="2"/>
      <c r="C18" s="2"/>
      <c r="D18" s="2"/>
      <c r="E18" s="2"/>
      <c r="F18" s="2"/>
      <c r="G18" s="2"/>
      <c r="H18" s="5" t="s">
        <v>144</v>
      </c>
      <c r="I18" s="23"/>
      <c r="J18" s="15"/>
      <c r="K18" s="8"/>
      <c r="L18" s="26">
        <f t="shared" si="0"/>
        <v>0</v>
      </c>
      <c r="N18" s="2"/>
      <c r="O18" s="2"/>
      <c r="P18" s="2"/>
      <c r="Q18" s="2"/>
      <c r="R18" s="2"/>
      <c r="S18" s="2"/>
    </row>
    <row r="19" spans="1:19" s="6" customFormat="1" x14ac:dyDescent="0.3">
      <c r="A19" s="31" t="s">
        <v>252</v>
      </c>
      <c r="B19" s="2"/>
      <c r="C19" s="2"/>
      <c r="D19" s="2"/>
      <c r="E19" s="2"/>
      <c r="F19" s="2"/>
      <c r="G19" s="2"/>
      <c r="H19" s="2"/>
      <c r="I19" s="21"/>
      <c r="J19" s="7"/>
      <c r="K19" s="8"/>
      <c r="N19" s="2"/>
      <c r="O19" s="2"/>
      <c r="P19" s="2"/>
      <c r="Q19" s="2"/>
      <c r="R19" s="2"/>
      <c r="S19" s="2"/>
    </row>
    <row r="20" spans="1:19" x14ac:dyDescent="0.3">
      <c r="A20" s="48" t="s">
        <v>19</v>
      </c>
      <c r="B20" s="48"/>
      <c r="C20" s="48"/>
      <c r="D20" s="48"/>
      <c r="E20" s="48"/>
      <c r="F20" s="48"/>
      <c r="I20" s="21" t="s">
        <v>22</v>
      </c>
      <c r="J20" s="7">
        <f>SUM(Table1345678101112131415161718192021222324252627283031[اللبناني])</f>
        <v>-65</v>
      </c>
      <c r="K20" s="7">
        <f>SUM(Table1345678101112131415161718192021222324252627283031[الدولار])</f>
        <v>-6391</v>
      </c>
      <c r="L20" s="7">
        <f>SUM(Table1345678101112131415161718192021222324252627283031[مبيع $])</f>
        <v>-6391.7222222222235</v>
      </c>
      <c r="N20" s="48" t="s">
        <v>21</v>
      </c>
      <c r="O20" s="48"/>
      <c r="P20" s="48"/>
      <c r="Q20" s="48"/>
      <c r="R20" s="48"/>
      <c r="S20" s="48"/>
    </row>
    <row r="21" spans="1:19" x14ac:dyDescent="0.3">
      <c r="A21" s="1" t="s">
        <v>2</v>
      </c>
      <c r="B21" s="1" t="s">
        <v>0</v>
      </c>
      <c r="C21" s="1" t="s">
        <v>1</v>
      </c>
      <c r="D21" s="1" t="s">
        <v>3</v>
      </c>
      <c r="E21" s="1" t="s">
        <v>0</v>
      </c>
      <c r="F21" s="1" t="s">
        <v>1</v>
      </c>
      <c r="H21" s="2" t="s">
        <v>136</v>
      </c>
      <c r="I21" s="22" t="s">
        <v>6</v>
      </c>
      <c r="J21" s="3" t="s">
        <v>5</v>
      </c>
      <c r="K21" s="9" t="s">
        <v>4</v>
      </c>
      <c r="L21" s="9" t="s">
        <v>125</v>
      </c>
      <c r="M21" s="2"/>
      <c r="N21" s="1" t="s">
        <v>2</v>
      </c>
      <c r="O21" s="1" t="s">
        <v>0</v>
      </c>
      <c r="P21" s="1" t="s">
        <v>1</v>
      </c>
      <c r="Q21" s="1" t="s">
        <v>3</v>
      </c>
      <c r="R21" s="1" t="s">
        <v>0</v>
      </c>
      <c r="S21" s="1" t="s">
        <v>1</v>
      </c>
    </row>
    <row r="22" spans="1:19" x14ac:dyDescent="0.3">
      <c r="A22" s="11">
        <v>1</v>
      </c>
      <c r="B22" s="2">
        <v>9</v>
      </c>
      <c r="C22" s="16">
        <f>A22*B22</f>
        <v>9</v>
      </c>
      <c r="D22" s="12">
        <v>5</v>
      </c>
      <c r="E22" s="2">
        <v>36</v>
      </c>
      <c r="F22" s="18">
        <f>D22*E22</f>
        <v>180</v>
      </c>
      <c r="G22" s="5"/>
      <c r="H22" s="5" t="s">
        <v>144</v>
      </c>
      <c r="I22" s="23" t="s">
        <v>257</v>
      </c>
      <c r="J22" s="15">
        <v>-650</v>
      </c>
      <c r="K22" s="8">
        <v>20</v>
      </c>
      <c r="L22" s="26">
        <f>Table1345678101112131415161718192021222324252627283031[[#This Row],[الدولار]]+(Table1345678101112131415161718192021222324252627283031[[#This Row],[اللبناني]]/90)</f>
        <v>12.777777777777779</v>
      </c>
      <c r="N22" s="11">
        <v>1</v>
      </c>
      <c r="O22" s="2">
        <v>11</v>
      </c>
      <c r="P22" s="16">
        <f>N22*O22</f>
        <v>11</v>
      </c>
      <c r="Q22" s="12">
        <v>5</v>
      </c>
      <c r="R22" s="2">
        <v>35</v>
      </c>
      <c r="S22" s="18">
        <f>Q22*R22</f>
        <v>175</v>
      </c>
    </row>
    <row r="23" spans="1:19" x14ac:dyDescent="0.3">
      <c r="A23" s="11">
        <v>5</v>
      </c>
      <c r="C23" s="16">
        <f t="shared" ref="C23:C27" si="1">A23*B23</f>
        <v>0</v>
      </c>
      <c r="D23" s="12">
        <v>10</v>
      </c>
      <c r="E23" s="2">
        <v>20</v>
      </c>
      <c r="F23" s="18">
        <f t="shared" ref="F23:F26" si="2">D23*E23</f>
        <v>200</v>
      </c>
      <c r="G23" s="5"/>
      <c r="H23" s="5" t="s">
        <v>144</v>
      </c>
      <c r="I23" s="23" t="s">
        <v>35</v>
      </c>
      <c r="J23" s="15">
        <v>220</v>
      </c>
      <c r="L23" s="26">
        <f>Table1345678101112131415161718192021222324252627283031[[#This Row],[الدولار]]+(Table1345678101112131415161718192021222324252627283031[[#This Row],[اللبناني]]/90)</f>
        <v>2.4444444444444446</v>
      </c>
      <c r="N23" s="11">
        <v>5</v>
      </c>
      <c r="O23" s="2">
        <v>1</v>
      </c>
      <c r="P23" s="16">
        <f t="shared" ref="P23:P27" si="3">N23*O23</f>
        <v>5</v>
      </c>
      <c r="Q23" s="12">
        <v>10</v>
      </c>
      <c r="R23" s="2">
        <v>18</v>
      </c>
      <c r="S23" s="18">
        <f t="shared" ref="S23:S26" si="4">Q23*R23</f>
        <v>180</v>
      </c>
    </row>
    <row r="24" spans="1:19" x14ac:dyDescent="0.3">
      <c r="A24" s="11">
        <v>10</v>
      </c>
      <c r="B24" s="2">
        <v>21</v>
      </c>
      <c r="C24" s="16">
        <f t="shared" si="1"/>
        <v>210</v>
      </c>
      <c r="D24" s="12">
        <v>20</v>
      </c>
      <c r="E24" s="2">
        <v>22</v>
      </c>
      <c r="F24" s="18">
        <f t="shared" si="2"/>
        <v>440</v>
      </c>
      <c r="G24" s="5"/>
      <c r="H24" s="5" t="s">
        <v>144</v>
      </c>
      <c r="I24" s="23" t="s">
        <v>87</v>
      </c>
      <c r="J24" s="15">
        <v>90</v>
      </c>
      <c r="K24" s="8">
        <v>2</v>
      </c>
      <c r="L24" s="26">
        <f>Table1345678101112131415161718192021222324252627283031[[#This Row],[الدولار]]+(Table1345678101112131415161718192021222324252627283031[[#This Row],[اللبناني]]/90)</f>
        <v>3</v>
      </c>
      <c r="N24" s="11">
        <v>10</v>
      </c>
      <c r="O24" s="2">
        <v>24</v>
      </c>
      <c r="P24" s="16">
        <f t="shared" si="3"/>
        <v>240</v>
      </c>
      <c r="Q24" s="12">
        <v>20</v>
      </c>
      <c r="R24" s="2">
        <v>20</v>
      </c>
      <c r="S24" s="18">
        <f t="shared" si="4"/>
        <v>400</v>
      </c>
    </row>
    <row r="25" spans="1:19" x14ac:dyDescent="0.3">
      <c r="A25" s="11">
        <v>20</v>
      </c>
      <c r="B25" s="2">
        <v>26</v>
      </c>
      <c r="C25" s="16">
        <f t="shared" si="1"/>
        <v>520</v>
      </c>
      <c r="D25" s="12">
        <v>50</v>
      </c>
      <c r="E25" s="2">
        <v>11</v>
      </c>
      <c r="F25" s="18">
        <f t="shared" si="2"/>
        <v>550</v>
      </c>
      <c r="G25" s="5"/>
      <c r="H25" s="5" t="s">
        <v>144</v>
      </c>
      <c r="I25" s="23" t="s">
        <v>258</v>
      </c>
      <c r="J25" s="15">
        <v>44400</v>
      </c>
      <c r="L25" s="26">
        <f>Table1345678101112131415161718192021222324252627283031[[#This Row],[الدولار]]+(Table1345678101112131415161718192021222324252627283031[[#This Row],[اللبناني]]/90)</f>
        <v>493.33333333333331</v>
      </c>
      <c r="N25" s="11">
        <v>20</v>
      </c>
      <c r="O25" s="2">
        <v>25</v>
      </c>
      <c r="P25" s="16">
        <f t="shared" si="3"/>
        <v>500</v>
      </c>
      <c r="Q25" s="12">
        <v>50</v>
      </c>
      <c r="R25" s="2">
        <v>5</v>
      </c>
      <c r="S25" s="18">
        <f t="shared" si="4"/>
        <v>250</v>
      </c>
    </row>
    <row r="26" spans="1:19" x14ac:dyDescent="0.3">
      <c r="A26" s="11">
        <v>50</v>
      </c>
      <c r="B26" s="2">
        <v>8</v>
      </c>
      <c r="C26" s="16">
        <f t="shared" si="1"/>
        <v>400</v>
      </c>
      <c r="D26" s="12">
        <v>100</v>
      </c>
      <c r="E26" s="2">
        <v>57</v>
      </c>
      <c r="F26" s="18">
        <f t="shared" si="2"/>
        <v>5700</v>
      </c>
      <c r="G26" s="5"/>
      <c r="H26" s="5" t="s">
        <v>146</v>
      </c>
      <c r="I26" s="24" t="s">
        <v>259</v>
      </c>
      <c r="J26" s="15">
        <v>-44400</v>
      </c>
      <c r="L26" s="26">
        <f>Table1345678101112131415161718192021222324252627283031[[#This Row],[الدولار]]+(Table1345678101112131415161718192021222324252627283031[[#This Row],[اللبناني]]/90)</f>
        <v>-493.33333333333331</v>
      </c>
      <c r="N26" s="11">
        <v>50</v>
      </c>
      <c r="O26" s="2">
        <v>9</v>
      </c>
      <c r="P26" s="16">
        <f t="shared" si="3"/>
        <v>450</v>
      </c>
      <c r="Q26" s="12">
        <v>100</v>
      </c>
      <c r="R26" s="2">
        <v>62</v>
      </c>
      <c r="S26" s="18">
        <f t="shared" si="4"/>
        <v>6200</v>
      </c>
    </row>
    <row r="27" spans="1:19" x14ac:dyDescent="0.3">
      <c r="A27" s="11">
        <v>100</v>
      </c>
      <c r="B27" s="2">
        <v>60</v>
      </c>
      <c r="C27" s="16">
        <f t="shared" si="1"/>
        <v>6000</v>
      </c>
      <c r="D27" s="1" t="s">
        <v>1</v>
      </c>
      <c r="E27" s="1"/>
      <c r="F27" s="14">
        <f>SUM(F22:F26)</f>
        <v>7070</v>
      </c>
      <c r="G27" s="5"/>
      <c r="H27" s="5" t="s">
        <v>144</v>
      </c>
      <c r="I27" s="23" t="s">
        <v>260</v>
      </c>
      <c r="J27" s="15"/>
      <c r="K27" s="8">
        <v>20</v>
      </c>
      <c r="L27" s="26">
        <f>Table1345678101112131415161718192021222324252627283031[[#This Row],[الدولار]]+(Table1345678101112131415161718192021222324252627283031[[#This Row],[اللبناني]]/90)</f>
        <v>20</v>
      </c>
      <c r="N27" s="11">
        <v>100</v>
      </c>
      <c r="O27" s="2">
        <v>11</v>
      </c>
      <c r="P27" s="16">
        <f t="shared" si="3"/>
        <v>1100</v>
      </c>
      <c r="Q27" s="1" t="s">
        <v>1</v>
      </c>
      <c r="R27" s="1"/>
      <c r="S27" s="14">
        <f>SUM(S22:S26)</f>
        <v>7205</v>
      </c>
    </row>
    <row r="28" spans="1:19" x14ac:dyDescent="0.3">
      <c r="A28" s="1" t="s">
        <v>1</v>
      </c>
      <c r="B28" s="1"/>
      <c r="C28" s="17">
        <f>SUM(C22:C27)</f>
        <v>7139</v>
      </c>
      <c r="H28" s="5" t="s">
        <v>144</v>
      </c>
      <c r="I28" s="23" t="s">
        <v>261</v>
      </c>
      <c r="J28" s="15"/>
      <c r="K28" s="8">
        <v>4</v>
      </c>
      <c r="L28" s="26">
        <f>Table1345678101112131415161718192021222324252627283031[[#This Row],[الدولار]]+(Table1345678101112131415161718192021222324252627283031[[#This Row],[اللبناني]]/90)</f>
        <v>4</v>
      </c>
      <c r="N28" s="1" t="s">
        <v>1</v>
      </c>
      <c r="O28" s="1"/>
      <c r="P28" s="17">
        <f>SUM(P22:P27)</f>
        <v>2306</v>
      </c>
      <c r="S28" s="15"/>
    </row>
    <row r="29" spans="1:19" x14ac:dyDescent="0.3">
      <c r="B29" s="2">
        <v>0</v>
      </c>
      <c r="C29" s="20"/>
      <c r="D29" s="47" t="s">
        <v>24</v>
      </c>
      <c r="E29" s="47"/>
      <c r="F29" s="19">
        <f ca="1">INDIRECT("'"&amp;$A$19&amp;"'!J20")+J1</f>
        <v>855</v>
      </c>
      <c r="H29" s="5" t="s">
        <v>144</v>
      </c>
      <c r="I29" s="23" t="s">
        <v>50</v>
      </c>
      <c r="J29" s="15"/>
      <c r="K29" s="8">
        <v>365</v>
      </c>
      <c r="L29" s="26">
        <f>Table1345678101112131415161718192021222324252627283031[[#This Row],[الدولار]]+(Table1345678101112131415161718192021222324252627283031[[#This Row],[اللبناني]]/90)</f>
        <v>365</v>
      </c>
      <c r="P29" s="20"/>
      <c r="Q29" s="47" t="s">
        <v>24</v>
      </c>
      <c r="R29" s="47"/>
      <c r="S29" s="19">
        <f>SUM(Table1345678101112131415161718192021222324252627283031[اللبناني])</f>
        <v>-65</v>
      </c>
    </row>
    <row r="30" spans="1:19" x14ac:dyDescent="0.3">
      <c r="A30" s="47" t="s">
        <v>23</v>
      </c>
      <c r="B30" s="47"/>
      <c r="C30" s="9">
        <f ca="1">INDIRECT("'"&amp;$A$19&amp;"'!K20")+K1</f>
        <v>6090</v>
      </c>
      <c r="F30" s="15"/>
      <c r="H30" s="5" t="s">
        <v>144</v>
      </c>
      <c r="I30" s="23" t="s">
        <v>262</v>
      </c>
      <c r="J30" s="15"/>
      <c r="K30" s="8">
        <v>400</v>
      </c>
      <c r="L30" s="26">
        <f>Table1345678101112131415161718192021222324252627283031[[#This Row],[الدولار]]+(Table1345678101112131415161718192021222324252627283031[[#This Row],[اللبناني]]/90)</f>
        <v>400</v>
      </c>
      <c r="N30" s="47" t="s">
        <v>23</v>
      </c>
      <c r="O30" s="47"/>
      <c r="P30" s="9">
        <f>SUM(Table1345678101112131415161718192021222324252627283031[الدولار])</f>
        <v>-6391</v>
      </c>
      <c r="S30" s="15"/>
    </row>
    <row r="31" spans="1:19" x14ac:dyDescent="0.3">
      <c r="C31" s="20"/>
      <c r="D31" s="1" t="s">
        <v>17</v>
      </c>
      <c r="E31" s="1"/>
      <c r="F31" s="19">
        <f ca="1">F27-F29-INDIRECT("'"&amp;$A$19&amp;"'!f27")</f>
        <v>0</v>
      </c>
      <c r="H31" s="5" t="s">
        <v>144</v>
      </c>
      <c r="I31" s="23" t="s">
        <v>263</v>
      </c>
      <c r="J31" s="15"/>
      <c r="K31" s="8">
        <v>170</v>
      </c>
      <c r="L31" s="26">
        <f>Table1345678101112131415161718192021222324252627283031[[#This Row],[الدولار]]+(Table1345678101112131415161718192021222324252627283031[[#This Row],[اللبناني]]/90)</f>
        <v>170</v>
      </c>
      <c r="P31" s="20"/>
      <c r="Q31" s="1" t="s">
        <v>17</v>
      </c>
      <c r="R31" s="1"/>
      <c r="S31" s="19">
        <f>S27-S29-F27</f>
        <v>200</v>
      </c>
    </row>
    <row r="32" spans="1:19" x14ac:dyDescent="0.3">
      <c r="A32" s="1" t="s">
        <v>17</v>
      </c>
      <c r="B32" s="1"/>
      <c r="C32" s="9">
        <f ca="1">C28-C30-INDIRECT("'"&amp;$A$19&amp;"'!c28")</f>
        <v>0</v>
      </c>
      <c r="H32" s="5" t="s">
        <v>146</v>
      </c>
      <c r="I32" s="23" t="s">
        <v>281</v>
      </c>
      <c r="J32" s="15"/>
      <c r="K32" s="8">
        <v>-935</v>
      </c>
      <c r="L32" s="26">
        <f>Table1345678101112131415161718192021222324252627283031[[#This Row],[الدولار]]+(Table1345678101112131415161718192021222324252627283031[[#This Row],[اللبناني]]/90)</f>
        <v>-935</v>
      </c>
      <c r="N32" s="1" t="s">
        <v>17</v>
      </c>
      <c r="O32" s="1"/>
      <c r="P32" s="9">
        <f>P28-P30-C28</f>
        <v>1558</v>
      </c>
    </row>
    <row r="33" spans="3:13" x14ac:dyDescent="0.3">
      <c r="C33" s="10"/>
      <c r="D33" s="10"/>
      <c r="F33" s="10"/>
      <c r="H33" s="5" t="s">
        <v>146</v>
      </c>
      <c r="I33" s="25" t="s">
        <v>13</v>
      </c>
      <c r="J33" s="13">
        <v>2000</v>
      </c>
      <c r="L33" s="26">
        <f>Table1345678101112131415161718192021222324252627283031[[#This Row],[الدولار]]+(Table1345678101112131415161718192021222324252627283031[[#This Row],[اللبناني]]/90)</f>
        <v>22.222222222222221</v>
      </c>
    </row>
    <row r="34" spans="3:13" x14ac:dyDescent="0.3">
      <c r="C34" s="10"/>
      <c r="D34" s="10"/>
      <c r="F34" s="10"/>
      <c r="H34" s="5" t="s">
        <v>145</v>
      </c>
      <c r="I34" s="25" t="s">
        <v>33</v>
      </c>
      <c r="J34" s="13">
        <v>-2000</v>
      </c>
      <c r="L34" s="26">
        <f>Table1345678101112131415161718192021222324252627283031[[#This Row],[الدولار]]+(Table1345678101112131415161718192021222324252627283031[[#This Row],[اللبناني]]/90)</f>
        <v>-22.222222222222221</v>
      </c>
    </row>
    <row r="35" spans="3:13" x14ac:dyDescent="0.3">
      <c r="C35" s="10"/>
      <c r="D35" s="10"/>
      <c r="F35" s="10"/>
      <c r="H35" s="5" t="s">
        <v>144</v>
      </c>
      <c r="I35" s="23" t="s">
        <v>264</v>
      </c>
      <c r="J35" s="13">
        <v>-135</v>
      </c>
      <c r="K35" s="8">
        <v>10</v>
      </c>
      <c r="L35" s="26">
        <f>Table1345678101112131415161718192021222324252627283031[[#This Row],[الدولار]]+(Table1345678101112131415161718192021222324252627283031[[#This Row],[اللبناني]]/90)</f>
        <v>8.5</v>
      </c>
    </row>
    <row r="36" spans="3:13" s="8" customFormat="1" x14ac:dyDescent="0.3">
      <c r="C36" s="10"/>
      <c r="D36" s="10"/>
      <c r="E36" s="2"/>
      <c r="F36" s="10"/>
      <c r="G36" s="2"/>
      <c r="H36" s="5" t="s">
        <v>144</v>
      </c>
      <c r="I36" s="25" t="s">
        <v>79</v>
      </c>
      <c r="J36" s="15">
        <v>60</v>
      </c>
      <c r="L36" s="26">
        <f>Table1345678101112131415161718192021222324252627283031[[#This Row],[الدولار]]+(Table1345678101112131415161718192021222324252627283031[[#This Row],[اللبناني]]/90)</f>
        <v>0.66666666666666663</v>
      </c>
      <c r="M36" s="6"/>
    </row>
    <row r="37" spans="3:13" s="8" customFormat="1" x14ac:dyDescent="0.3">
      <c r="C37" s="10"/>
      <c r="D37" s="2"/>
      <c r="E37" s="2"/>
      <c r="F37" s="10"/>
      <c r="G37" s="2"/>
      <c r="H37" s="5" t="s">
        <v>144</v>
      </c>
      <c r="I37" s="25" t="s">
        <v>265</v>
      </c>
      <c r="J37" s="15">
        <v>280</v>
      </c>
      <c r="K37" s="8">
        <v>10</v>
      </c>
      <c r="L37" s="26">
        <f>Table1345678101112131415161718192021222324252627283031[[#This Row],[الدولار]]+(Table1345678101112131415161718192021222324252627283031[[#This Row],[اللبناني]]/90)</f>
        <v>13.111111111111111</v>
      </c>
      <c r="M37" s="6"/>
    </row>
    <row r="38" spans="3:13" s="8" customFormat="1" x14ac:dyDescent="0.3">
      <c r="C38" s="10"/>
      <c r="D38" s="2"/>
      <c r="E38" s="2"/>
      <c r="F38" s="2"/>
      <c r="G38" s="2"/>
      <c r="H38" s="5" t="s">
        <v>144</v>
      </c>
      <c r="I38" s="25" t="s">
        <v>45</v>
      </c>
      <c r="J38" s="15">
        <v>30</v>
      </c>
      <c r="L38" s="26">
        <f>Table1345678101112131415161718192021222324252627283031[[#This Row],[الدولار]]+(Table1345678101112131415161718192021222324252627283031[[#This Row],[اللبناني]]/90)</f>
        <v>0.33333333333333331</v>
      </c>
      <c r="M38" s="6"/>
    </row>
    <row r="39" spans="3:13" s="8" customFormat="1" x14ac:dyDescent="0.3">
      <c r="C39" s="2"/>
      <c r="D39" s="2"/>
      <c r="E39" s="2"/>
      <c r="F39" s="6"/>
      <c r="G39" s="2"/>
      <c r="H39" s="5" t="s">
        <v>144</v>
      </c>
      <c r="I39" s="23" t="s">
        <v>266</v>
      </c>
      <c r="J39" s="15"/>
      <c r="K39" s="8">
        <v>10</v>
      </c>
      <c r="L39" s="26">
        <f>Table1345678101112131415161718192021222324252627283031[[#This Row],[الدولار]]+(Table1345678101112131415161718192021222324252627283031[[#This Row],[اللبناني]]/90)</f>
        <v>10</v>
      </c>
      <c r="M39" s="6"/>
    </row>
    <row r="40" spans="3:13" s="8" customFormat="1" x14ac:dyDescent="0.3">
      <c r="C40" s="6"/>
      <c r="D40" s="2"/>
      <c r="E40" s="2"/>
      <c r="F40" s="2"/>
      <c r="G40" s="2"/>
      <c r="H40" s="5" t="s">
        <v>146</v>
      </c>
      <c r="I40" s="23" t="s">
        <v>259</v>
      </c>
      <c r="J40" s="15"/>
      <c r="K40" s="8">
        <v>-6000</v>
      </c>
      <c r="L40" s="26">
        <f>Table1345678101112131415161718192021222324252627283031[[#This Row],[الدولار]]+(Table1345678101112131415161718192021222324252627283031[[#This Row],[اللبناني]]/90)</f>
        <v>-6000</v>
      </c>
      <c r="M40" s="6"/>
    </row>
    <row r="41" spans="3:13" s="8" customFormat="1" x14ac:dyDescent="0.3">
      <c r="C41" s="2"/>
      <c r="D41" s="2"/>
      <c r="E41" s="2"/>
      <c r="F41" s="6"/>
      <c r="G41" s="2"/>
      <c r="H41" s="5" t="s">
        <v>144</v>
      </c>
      <c r="I41" s="23" t="s">
        <v>88</v>
      </c>
      <c r="J41" s="15">
        <v>-540</v>
      </c>
      <c r="K41" s="8">
        <v>20</v>
      </c>
      <c r="L41" s="26">
        <f>Table1345678101112131415161718192021222324252627283031[[#This Row],[الدولار]]+(Table1345678101112131415161718192021222324252627283031[[#This Row],[اللبناني]]/90)</f>
        <v>14</v>
      </c>
      <c r="M41" s="6"/>
    </row>
    <row r="42" spans="3:13" s="8" customFormat="1" x14ac:dyDescent="0.3">
      <c r="C42" s="6"/>
      <c r="D42" s="2"/>
      <c r="E42" s="2"/>
      <c r="F42" s="2"/>
      <c r="G42" s="2"/>
      <c r="H42" s="5" t="s">
        <v>144</v>
      </c>
      <c r="I42" s="23" t="s">
        <v>45</v>
      </c>
      <c r="J42" s="15">
        <v>50</v>
      </c>
      <c r="L42" s="26">
        <f>Table1345678101112131415161718192021222324252627283031[[#This Row],[الدولار]]+(Table1345678101112131415161718192021222324252627283031[[#This Row],[اللبناني]]/90)</f>
        <v>0.55555555555555558</v>
      </c>
      <c r="M42" s="6"/>
    </row>
    <row r="43" spans="3:13" s="8" customFormat="1" x14ac:dyDescent="0.3">
      <c r="C43" s="2"/>
      <c r="D43" s="2"/>
      <c r="E43" s="2"/>
      <c r="F43" s="2"/>
      <c r="G43" s="2"/>
      <c r="H43" s="5" t="s">
        <v>144</v>
      </c>
      <c r="I43" s="23" t="s">
        <v>267</v>
      </c>
      <c r="J43" s="15">
        <v>1100</v>
      </c>
      <c r="K43" s="8">
        <v>200</v>
      </c>
      <c r="L43" s="26">
        <f>Table1345678101112131415161718192021222324252627283031[[#This Row],[الدولار]]+(Table1345678101112131415161718192021222324252627283031[[#This Row],[اللبناني]]/90)</f>
        <v>212.22222222222223</v>
      </c>
      <c r="M43" s="6"/>
    </row>
    <row r="44" spans="3:13" s="8" customFormat="1" x14ac:dyDescent="0.3">
      <c r="C44" s="2"/>
      <c r="D44" s="2"/>
      <c r="E44" s="2"/>
      <c r="F44" s="2"/>
      <c r="G44" s="2"/>
      <c r="H44" s="5" t="s">
        <v>144</v>
      </c>
      <c r="I44" s="23" t="s">
        <v>268</v>
      </c>
      <c r="J44" s="15">
        <v>340</v>
      </c>
      <c r="L44" s="26">
        <f>Table1345678101112131415161718192021222324252627283031[[#This Row],[الدولار]]+(Table1345678101112131415161718192021222324252627283031[[#This Row],[اللبناني]]/90)</f>
        <v>3.7777777777777777</v>
      </c>
      <c r="M44" s="6"/>
    </row>
    <row r="45" spans="3:13" s="8" customFormat="1" x14ac:dyDescent="0.3">
      <c r="C45" s="2"/>
      <c r="D45" s="2"/>
      <c r="E45" s="2"/>
      <c r="F45" s="2"/>
      <c r="G45" s="2"/>
      <c r="H45" s="5" t="s">
        <v>144</v>
      </c>
      <c r="I45" s="23" t="s">
        <v>269</v>
      </c>
      <c r="J45" s="15"/>
      <c r="K45" s="8">
        <v>15</v>
      </c>
      <c r="L45" s="26">
        <f>Table1345678101112131415161718192021222324252627283031[[#This Row],[الدولار]]+(Table1345678101112131415161718192021222324252627283031[[#This Row],[اللبناني]]/90)</f>
        <v>15</v>
      </c>
      <c r="M45" s="6"/>
    </row>
    <row r="46" spans="3:13" s="8" customFormat="1" x14ac:dyDescent="0.3">
      <c r="C46" s="2"/>
      <c r="D46" s="2"/>
      <c r="E46" s="2"/>
      <c r="F46" s="2"/>
      <c r="G46" s="2"/>
      <c r="H46" s="5" t="s">
        <v>144</v>
      </c>
      <c r="I46" s="23" t="s">
        <v>47</v>
      </c>
      <c r="J46" s="13">
        <v>380</v>
      </c>
      <c r="L46" s="26">
        <f>Table1345678101112131415161718192021222324252627283031[[#This Row],[الدولار]]+(Table1345678101112131415161718192021222324252627283031[[#This Row],[اللبناني]]/90)</f>
        <v>4.2222222222222223</v>
      </c>
      <c r="M46" s="6"/>
    </row>
    <row r="47" spans="3:13" s="8" customFormat="1" x14ac:dyDescent="0.3">
      <c r="C47" s="2"/>
      <c r="D47" s="2"/>
      <c r="E47" s="2"/>
      <c r="F47" s="2"/>
      <c r="G47" s="2"/>
      <c r="H47" s="5" t="s">
        <v>144</v>
      </c>
      <c r="I47" s="21" t="s">
        <v>270</v>
      </c>
      <c r="J47" s="13"/>
      <c r="K47" s="8">
        <v>330</v>
      </c>
      <c r="L47" s="26">
        <f>Table1345678101112131415161718192021222324252627283031[[#This Row],[الدولار]]+(Table1345678101112131415161718192021222324252627283031[[#This Row],[اللبناني]]/90)</f>
        <v>330</v>
      </c>
      <c r="M47" s="6"/>
    </row>
    <row r="48" spans="3:13" s="8" customFormat="1" x14ac:dyDescent="0.3">
      <c r="C48" s="2"/>
      <c r="D48" s="2"/>
      <c r="E48" s="2"/>
      <c r="F48" s="2"/>
      <c r="G48" s="2"/>
      <c r="H48" s="5" t="s">
        <v>144</v>
      </c>
      <c r="I48" s="21" t="s">
        <v>271</v>
      </c>
      <c r="J48" s="13">
        <v>180</v>
      </c>
      <c r="L48" s="26">
        <f>Table1345678101112131415161718192021222324252627283031[[#This Row],[الدولار]]+(Table1345678101112131415161718192021222324252627283031[[#This Row],[اللبناني]]/90)</f>
        <v>2</v>
      </c>
      <c r="M48" s="6"/>
    </row>
    <row r="49" spans="3:19" s="8" customFormat="1" x14ac:dyDescent="0.3">
      <c r="C49" s="2"/>
      <c r="D49" s="2"/>
      <c r="E49" s="2"/>
      <c r="F49" s="2"/>
      <c r="G49" s="2"/>
      <c r="H49" s="5" t="s">
        <v>144</v>
      </c>
      <c r="I49" s="21" t="s">
        <v>272</v>
      </c>
      <c r="J49" s="13">
        <v>-360</v>
      </c>
      <c r="K49" s="8">
        <v>20</v>
      </c>
      <c r="L49" s="26">
        <f>Table1345678101112131415161718192021222324252627283031[[#This Row],[الدولار]]+(Table1345678101112131415161718192021222324252627283031[[#This Row],[اللبناني]]/90)</f>
        <v>16</v>
      </c>
      <c r="M49" s="6"/>
      <c r="S49" s="14"/>
    </row>
    <row r="50" spans="3:19" s="8" customFormat="1" x14ac:dyDescent="0.3">
      <c r="C50" s="2"/>
      <c r="D50" s="2"/>
      <c r="E50" s="2"/>
      <c r="F50" s="2"/>
      <c r="G50" s="2"/>
      <c r="H50" s="5" t="s">
        <v>144</v>
      </c>
      <c r="I50" s="21" t="s">
        <v>39</v>
      </c>
      <c r="J50" s="13"/>
      <c r="K50" s="8">
        <v>605</v>
      </c>
      <c r="L50" s="26">
        <f>Table1345678101112131415161718192021222324252627283031[[#This Row],[الدولار]]+(Table1345678101112131415161718192021222324252627283031[[#This Row],[اللبناني]]/90)</f>
        <v>605</v>
      </c>
      <c r="M50" s="6"/>
    </row>
    <row r="51" spans="3:19" s="8" customFormat="1" x14ac:dyDescent="0.3">
      <c r="C51" s="2"/>
      <c r="D51" s="2"/>
      <c r="E51" s="2"/>
      <c r="F51" s="2"/>
      <c r="G51" s="2"/>
      <c r="H51" s="5" t="s">
        <v>144</v>
      </c>
      <c r="I51" s="21" t="s">
        <v>273</v>
      </c>
      <c r="J51" s="13">
        <v>300</v>
      </c>
      <c r="L51" s="26">
        <f>Table1345678101112131415161718192021222324252627283031[[#This Row],[الدولار]]+(Table1345678101112131415161718192021222324252627283031[[#This Row],[اللبناني]]/90)</f>
        <v>3.3333333333333335</v>
      </c>
      <c r="M51" s="6"/>
    </row>
    <row r="52" spans="3:19" s="8" customFormat="1" x14ac:dyDescent="0.3">
      <c r="H52" s="5" t="s">
        <v>144</v>
      </c>
      <c r="I52" s="21" t="s">
        <v>36</v>
      </c>
      <c r="J52" s="13">
        <v>400</v>
      </c>
      <c r="K52" s="8">
        <v>2</v>
      </c>
      <c r="L52" s="26">
        <f>Table1345678101112131415161718192021222324252627283031[[#This Row],[الدولار]]+(Table1345678101112131415161718192021222324252627283031[[#This Row],[اللبناني]]/90)</f>
        <v>6.4444444444444446</v>
      </c>
      <c r="M52" s="6"/>
    </row>
    <row r="53" spans="3:19" s="8" customFormat="1" x14ac:dyDescent="0.3">
      <c r="H53" s="5" t="s">
        <v>144</v>
      </c>
      <c r="I53" s="21" t="s">
        <v>74</v>
      </c>
      <c r="J53" s="13"/>
      <c r="K53" s="8">
        <v>30</v>
      </c>
      <c r="L53" s="26">
        <f>Table1345678101112131415161718192021222324252627283031[[#This Row],[الدولار]]+(Table1345678101112131415161718192021222324252627283031[[#This Row],[اللبناني]]/90)</f>
        <v>30</v>
      </c>
      <c r="M53" s="6"/>
    </row>
    <row r="54" spans="3:19" s="8" customFormat="1" x14ac:dyDescent="0.3">
      <c r="H54" s="5" t="s">
        <v>145</v>
      </c>
      <c r="I54" s="21" t="s">
        <v>8</v>
      </c>
      <c r="J54" s="13">
        <v>-2000</v>
      </c>
      <c r="L54" s="26">
        <f>Table1345678101112131415161718192021222324252627283031[[#This Row],[الدولار]]+(Table1345678101112131415161718192021222324252627283031[[#This Row],[اللبناني]]/90)</f>
        <v>-22.222222222222221</v>
      </c>
      <c r="M54" s="6"/>
    </row>
    <row r="55" spans="3:19" s="8" customFormat="1" x14ac:dyDescent="0.3">
      <c r="H55" s="5" t="s">
        <v>145</v>
      </c>
      <c r="I55" s="21" t="s">
        <v>31</v>
      </c>
      <c r="J55" s="13">
        <v>-300</v>
      </c>
      <c r="L55" s="26">
        <f>Table1345678101112131415161718192021222324252627283031[[#This Row],[الدولار]]+(Table1345678101112131415161718192021222324252627283031[[#This Row],[اللبناني]]/90)</f>
        <v>-3.3333333333333335</v>
      </c>
      <c r="M55" s="6"/>
    </row>
    <row r="56" spans="3:19" s="8" customFormat="1" x14ac:dyDescent="0.3">
      <c r="H56" s="5" t="s">
        <v>146</v>
      </c>
      <c r="I56" s="21" t="s">
        <v>274</v>
      </c>
      <c r="J56" s="13"/>
      <c r="K56" s="8">
        <v>-270</v>
      </c>
      <c r="L56" s="26">
        <f>Table1345678101112131415161718192021222324252627283031[[#This Row],[الدولار]]+(Table1345678101112131415161718192021222324252627283031[[#This Row],[اللبناني]]/90)</f>
        <v>-270</v>
      </c>
      <c r="M56" s="6"/>
    </row>
    <row r="57" spans="3:19" s="8" customFormat="1" x14ac:dyDescent="0.3">
      <c r="H57" s="5" t="s">
        <v>144</v>
      </c>
      <c r="I57" s="21" t="s">
        <v>275</v>
      </c>
      <c r="J57" s="13">
        <v>120</v>
      </c>
      <c r="L57" s="26">
        <f>Table1345678101112131415161718192021222324252627283031[[#This Row],[الدولار]]+(Table1345678101112131415161718192021222324252627283031[[#This Row],[اللبناني]]/90)</f>
        <v>1.3333333333333333</v>
      </c>
      <c r="M57" s="6"/>
    </row>
    <row r="58" spans="3:19" s="8" customFormat="1" x14ac:dyDescent="0.3">
      <c r="H58" s="5" t="s">
        <v>144</v>
      </c>
      <c r="I58" s="21" t="s">
        <v>276</v>
      </c>
      <c r="J58" s="13">
        <v>100</v>
      </c>
      <c r="L58" s="26">
        <f>Table1345678101112131415161718192021222324252627283031[[#This Row],[الدولار]]+(Table1345678101112131415161718192021222324252627283031[[#This Row],[اللبناني]]/90)</f>
        <v>1.1111111111111112</v>
      </c>
      <c r="M58" s="6"/>
    </row>
    <row r="59" spans="3:19" s="8" customFormat="1" x14ac:dyDescent="0.3">
      <c r="H59" s="5" t="s">
        <v>144</v>
      </c>
      <c r="I59" s="21" t="s">
        <v>20</v>
      </c>
      <c r="J59" s="13">
        <v>200</v>
      </c>
      <c r="L59" s="26">
        <f>Table1345678101112131415161718192021222324252627283031[[#This Row],[الدولار]]+(Table1345678101112131415161718192021222324252627283031[[#This Row],[اللبناني]]/90)</f>
        <v>2.2222222222222223</v>
      </c>
      <c r="M59" s="6"/>
    </row>
    <row r="60" spans="3:19" s="8" customFormat="1" x14ac:dyDescent="0.3">
      <c r="H60" s="5" t="s">
        <v>144</v>
      </c>
      <c r="I60" s="21" t="s">
        <v>277</v>
      </c>
      <c r="J60" s="13">
        <v>50</v>
      </c>
      <c r="L60" s="26">
        <f>Table1345678101112131415161718192021222324252627283031[[#This Row],[الدولار]]+(Table1345678101112131415161718192021222324252627283031[[#This Row],[اللبناني]]/90)</f>
        <v>0.55555555555555558</v>
      </c>
      <c r="M60" s="6"/>
    </row>
    <row r="61" spans="3:19" s="8" customFormat="1" x14ac:dyDescent="0.3">
      <c r="H61" s="5" t="s">
        <v>144</v>
      </c>
      <c r="I61" s="21" t="s">
        <v>278</v>
      </c>
      <c r="J61" s="13">
        <v>70</v>
      </c>
      <c r="L61" s="26">
        <f>Table1345678101112131415161718192021222324252627283031[[#This Row],[الدولار]]+(Table1345678101112131415161718192021222324252627283031[[#This Row],[اللبناني]]/90)</f>
        <v>0.77777777777777779</v>
      </c>
      <c r="M61" s="6"/>
    </row>
    <row r="62" spans="3:19" s="8" customFormat="1" x14ac:dyDescent="0.3">
      <c r="H62" s="5" t="s">
        <v>144</v>
      </c>
      <c r="I62" s="21" t="s">
        <v>262</v>
      </c>
      <c r="J62" s="13">
        <v>450</v>
      </c>
      <c r="K62" s="8">
        <v>131</v>
      </c>
      <c r="L62" s="26">
        <f>Table1345678101112131415161718192021222324252627283031[[#This Row],[الدولار]]+(Table1345678101112131415161718192021222324252627283031[[#This Row],[اللبناني]]/90)</f>
        <v>136</v>
      </c>
      <c r="M62" s="6"/>
    </row>
    <row r="63" spans="3:19" s="8" customFormat="1" x14ac:dyDescent="0.3">
      <c r="H63" s="5" t="s">
        <v>144</v>
      </c>
      <c r="I63" s="21" t="s">
        <v>279</v>
      </c>
      <c r="J63" s="13">
        <v>-600</v>
      </c>
      <c r="L63" s="26">
        <f>Table1345678101112131415161718192021222324252627283031[[#This Row],[الدولار]]+(Table1345678101112131415161718192021222324252627283031[[#This Row],[اللبناني]]/90)</f>
        <v>-6.666666666666667</v>
      </c>
      <c r="M63" s="6"/>
    </row>
    <row r="64" spans="3:19" s="8" customFormat="1" x14ac:dyDescent="0.3">
      <c r="H64" s="5" t="s">
        <v>144</v>
      </c>
      <c r="I64" s="21" t="s">
        <v>280</v>
      </c>
      <c r="J64" s="13">
        <v>300</v>
      </c>
      <c r="L64" s="26">
        <f>Table1345678101112131415161718192021222324252627283031[[#This Row],[الدولار]]+(Table1345678101112131415161718192021222324252627283031[[#This Row],[اللبناني]]/90)</f>
        <v>3.3333333333333335</v>
      </c>
      <c r="M64" s="6"/>
      <c r="P64" s="17"/>
      <c r="S64" s="14"/>
    </row>
    <row r="65" spans="4:19" s="8" customFormat="1" x14ac:dyDescent="0.3">
      <c r="D65" s="36"/>
      <c r="H65" s="5" t="s">
        <v>144</v>
      </c>
      <c r="I65" s="21"/>
      <c r="J65" s="32"/>
      <c r="K65" s="33">
        <v>8</v>
      </c>
      <c r="L65" s="26">
        <f>Table1345678101112131415161718192021222324252627283031[[#This Row],[الدولار]]+(Table1345678101112131415161718192021222324252627283031[[#This Row],[اللبناني]]/90)</f>
        <v>8</v>
      </c>
      <c r="M65" s="6"/>
      <c r="N65" s="8" t="s">
        <v>57</v>
      </c>
      <c r="P65" s="17">
        <v>2306</v>
      </c>
      <c r="S65" s="14">
        <v>7205</v>
      </c>
    </row>
    <row r="66" spans="4:19" s="8" customFormat="1" x14ac:dyDescent="0.3">
      <c r="D66" s="36"/>
      <c r="H66" s="5" t="s">
        <v>144</v>
      </c>
      <c r="I66" s="21" t="s">
        <v>282</v>
      </c>
      <c r="J66" s="34"/>
      <c r="K66" s="35">
        <v>55</v>
      </c>
      <c r="L66" s="26">
        <f>Table1345678101112131415161718192021222324252627283031[[#This Row],[الدولار]]+(Table1345678101112131415161718192021222324252627283031[[#This Row],[اللبناني]]/90)</f>
        <v>55</v>
      </c>
      <c r="M66" s="6"/>
    </row>
    <row r="67" spans="4:19" s="8" customFormat="1" x14ac:dyDescent="0.3">
      <c r="D67" s="36"/>
      <c r="H67" s="5" t="s">
        <v>144</v>
      </c>
      <c r="I67" s="21" t="s">
        <v>283</v>
      </c>
      <c r="J67" s="32"/>
      <c r="K67" s="33">
        <v>-73</v>
      </c>
      <c r="L67" s="26">
        <f>Table1345678101112131415161718192021222324252627283031[[#This Row],[الدولار]]+(Table1345678101112131415161718192021222324252627283031[[#This Row],[اللبناني]]/90)</f>
        <v>-73</v>
      </c>
      <c r="M67" s="6"/>
    </row>
    <row r="68" spans="4:19" s="8" customFormat="1" x14ac:dyDescent="0.3">
      <c r="D68" s="36"/>
      <c r="H68" s="5" t="s">
        <v>144</v>
      </c>
      <c r="I68" s="21"/>
      <c r="J68" s="34">
        <v>-200</v>
      </c>
      <c r="K68" s="35">
        <v>10</v>
      </c>
      <c r="L68" s="26">
        <f>Table1345678101112131415161718192021222324252627283031[[#This Row],[الدولار]]+(Table1345678101112131415161718192021222324252627283031[[#This Row],[اللبناني]]/90)</f>
        <v>7.7777777777777777</v>
      </c>
      <c r="M68" s="6"/>
    </row>
    <row r="69" spans="4:19" s="8" customFormat="1" x14ac:dyDescent="0.3">
      <c r="D69" s="36"/>
      <c r="H69" s="5" t="s">
        <v>146</v>
      </c>
      <c r="I69" s="21"/>
      <c r="J69" s="32"/>
      <c r="K69" s="33">
        <v>-1550</v>
      </c>
      <c r="L69" s="26">
        <f>Table1345678101112131415161718192021222324252627283031[[#This Row],[الدولار]]+(Table1345678101112131415161718192021222324252627283031[[#This Row],[اللبناني]]/90)</f>
        <v>-1550</v>
      </c>
      <c r="M69" s="6"/>
    </row>
    <row r="70" spans="4:19" s="8" customFormat="1" x14ac:dyDescent="0.3">
      <c r="H70" s="5" t="s">
        <v>144</v>
      </c>
      <c r="I70" s="21" t="s">
        <v>292</v>
      </c>
      <c r="J70" s="13"/>
      <c r="K70" s="8">
        <v>100</v>
      </c>
      <c r="L70" s="26">
        <f>Table1345678101112131415161718192021222324252627283031[[#This Row],[الدولار]]+(Table1345678101112131415161718192021222324252627283031[[#This Row],[اللبناني]]/90)</f>
        <v>100</v>
      </c>
      <c r="M70" s="6"/>
    </row>
    <row r="71" spans="4:19" s="8" customFormat="1" x14ac:dyDescent="0.3">
      <c r="H71" s="5" t="s">
        <v>146</v>
      </c>
      <c r="I71" s="21" t="s">
        <v>281</v>
      </c>
      <c r="J71" s="13"/>
      <c r="K71" s="8">
        <v>-100</v>
      </c>
      <c r="L71" s="26">
        <f>Table1345678101112131415161718192021222324252627283031[[#This Row],[الدولار]]+(Table1345678101112131415161718192021222324252627283031[[#This Row],[اللبناني]]/90)</f>
        <v>-100</v>
      </c>
      <c r="M71" s="6"/>
    </row>
    <row r="72" spans="4:19" s="8" customFormat="1" x14ac:dyDescent="0.3">
      <c r="H72" s="5" t="s">
        <v>144</v>
      </c>
      <c r="I72" s="21"/>
      <c r="J72" s="13"/>
      <c r="L72" s="26">
        <f>Table1345678101112131415161718192021222324252627283031[[#This Row],[الدولار]]+(Table1345678101112131415161718192021222324252627283031[[#This Row],[اللبناني]]/90)</f>
        <v>0</v>
      </c>
      <c r="M72" s="6"/>
    </row>
    <row r="73" spans="4:19" s="8" customFormat="1" x14ac:dyDescent="0.3">
      <c r="H73" s="5" t="s">
        <v>144</v>
      </c>
      <c r="I73" s="21"/>
      <c r="J73" s="13"/>
      <c r="L73" s="26">
        <f>Table1345678101112131415161718192021222324252627283031[[#This Row],[الدولار]]+(Table1345678101112131415161718192021222324252627283031[[#This Row],[اللبناني]]/90)</f>
        <v>0</v>
      </c>
      <c r="M73" s="6"/>
    </row>
    <row r="74" spans="4:19" s="8" customFormat="1" x14ac:dyDescent="0.3">
      <c r="H74" s="5" t="s">
        <v>144</v>
      </c>
      <c r="I74" s="21"/>
      <c r="J74" s="13"/>
      <c r="L74" s="26">
        <f>Table1345678101112131415161718192021222324252627283031[[#This Row],[الدولار]]+(Table1345678101112131415161718192021222324252627283031[[#This Row],[اللبناني]]/90)</f>
        <v>0</v>
      </c>
      <c r="M74" s="6"/>
    </row>
    <row r="75" spans="4:19" s="8" customFormat="1" x14ac:dyDescent="0.3">
      <c r="H75" s="5" t="s">
        <v>144</v>
      </c>
      <c r="I75" s="21"/>
      <c r="J75" s="13"/>
      <c r="L75" s="26">
        <f>Table1345678101112131415161718192021222324252627283031[[#This Row],[الدولار]]+(Table1345678101112131415161718192021222324252627283031[[#This Row],[اللبناني]]/90)</f>
        <v>0</v>
      </c>
      <c r="M75" s="6"/>
    </row>
    <row r="76" spans="4:19" s="8" customFormat="1" x14ac:dyDescent="0.3">
      <c r="H76" s="5" t="s">
        <v>144</v>
      </c>
      <c r="I76" s="21"/>
      <c r="J76" s="13"/>
      <c r="L76" s="26">
        <f>Table1345678101112131415161718192021222324252627283031[[#This Row],[الدولار]]+(Table1345678101112131415161718192021222324252627283031[[#This Row],[اللبناني]]/90)</f>
        <v>0</v>
      </c>
      <c r="M76" s="6"/>
    </row>
    <row r="77" spans="4:19" s="8" customFormat="1" x14ac:dyDescent="0.3">
      <c r="H77" s="5" t="s">
        <v>144</v>
      </c>
      <c r="I77" s="21"/>
      <c r="J77" s="13"/>
      <c r="L77" s="26">
        <f>Table1345678101112131415161718192021222324252627283031[[#This Row],[الدولار]]+(Table1345678101112131415161718192021222324252627283031[[#This Row],[اللبناني]]/90)</f>
        <v>0</v>
      </c>
      <c r="M77" s="6"/>
    </row>
    <row r="78" spans="4:19" s="8" customFormat="1" x14ac:dyDescent="0.3">
      <c r="H78" s="5" t="s">
        <v>144</v>
      </c>
      <c r="I78" s="21"/>
      <c r="J78" s="13"/>
      <c r="L78" s="26">
        <f>Table1345678101112131415161718192021222324252627283031[[#This Row],[الدولار]]+(Table1345678101112131415161718192021222324252627283031[[#This Row],[اللبناني]]/90)</f>
        <v>0</v>
      </c>
      <c r="M78" s="6"/>
    </row>
    <row r="79" spans="4:19" s="8" customFormat="1" x14ac:dyDescent="0.3">
      <c r="H79" s="5" t="s">
        <v>144</v>
      </c>
      <c r="I79" s="21"/>
      <c r="J79" s="13"/>
      <c r="L79" s="26">
        <f>Table1345678101112131415161718192021222324252627283031[[#This Row],[الدولار]]+(Table1345678101112131415161718192021222324252627283031[[#This Row],[اللبناني]]/90)</f>
        <v>0</v>
      </c>
      <c r="M79" s="6"/>
    </row>
    <row r="80" spans="4:19" s="8" customFormat="1" x14ac:dyDescent="0.3">
      <c r="H80" s="5" t="s">
        <v>144</v>
      </c>
      <c r="I80" s="21"/>
      <c r="J80" s="13"/>
      <c r="L80" s="26">
        <f>Table1345678101112131415161718192021222324252627283031[[#This Row],[الدولار]]+(Table1345678101112131415161718192021222324252627283031[[#This Row],[اللبناني]]/90)</f>
        <v>0</v>
      </c>
      <c r="M80" s="6"/>
    </row>
    <row r="81" spans="8:19" s="8" customFormat="1" x14ac:dyDescent="0.3">
      <c r="H81" s="5" t="s">
        <v>144</v>
      </c>
      <c r="I81" s="21"/>
      <c r="J81" s="13"/>
      <c r="L81" s="26">
        <f>Table1345678101112131415161718192021222324252627283031[[#This Row],[الدولار]]+(Table1345678101112131415161718192021222324252627283031[[#This Row],[اللبناني]]/90)</f>
        <v>0</v>
      </c>
      <c r="M81" s="6"/>
      <c r="S81" s="19"/>
    </row>
    <row r="82" spans="8:19" s="8" customFormat="1" x14ac:dyDescent="0.3">
      <c r="H82" s="5" t="s">
        <v>144</v>
      </c>
      <c r="I82" s="21"/>
      <c r="J82" s="13"/>
      <c r="L82" s="26">
        <f>Table1345678101112131415161718192021222324252627283031[[#This Row],[الدولار]]+(Table1345678101112131415161718192021222324252627283031[[#This Row],[اللبناني]]/90)</f>
        <v>0</v>
      </c>
      <c r="M82" s="6"/>
    </row>
    <row r="83" spans="8:19" s="8" customFormat="1" x14ac:dyDescent="0.3">
      <c r="H83" s="5" t="s">
        <v>144</v>
      </c>
      <c r="I83" s="21"/>
      <c r="J83" s="13"/>
      <c r="L83" s="26">
        <f>Table1345678101112131415161718192021222324252627283031[[#This Row],[الدولار]]+(Table1345678101112131415161718192021222324252627283031[[#This Row],[اللبناني]]/90)</f>
        <v>0</v>
      </c>
      <c r="M83" s="6"/>
    </row>
    <row r="84" spans="8:19" s="8" customFormat="1" x14ac:dyDescent="0.3">
      <c r="H84" s="5" t="s">
        <v>144</v>
      </c>
      <c r="I84" s="21"/>
      <c r="J84" s="13"/>
      <c r="L84" s="26">
        <f>Table1345678101112131415161718192021222324252627283031[[#This Row],[الدولار]]+(Table1345678101112131415161718192021222324252627283031[[#This Row],[اللبناني]]/90)</f>
        <v>0</v>
      </c>
      <c r="M84" s="6"/>
    </row>
    <row r="85" spans="8:19" s="8" customFormat="1" x14ac:dyDescent="0.3">
      <c r="H85" s="5" t="s">
        <v>144</v>
      </c>
      <c r="I85" s="21"/>
      <c r="J85" s="13"/>
      <c r="L85" s="26">
        <f>Table1345678101112131415161718192021222324252627283031[[#This Row],[الدولار]]+(Table1345678101112131415161718192021222324252627283031[[#This Row],[اللبناني]]/90)</f>
        <v>0</v>
      </c>
      <c r="M85" s="6"/>
    </row>
    <row r="86" spans="8:19" s="8" customFormat="1" x14ac:dyDescent="0.3">
      <c r="H86" s="5" t="s">
        <v>144</v>
      </c>
      <c r="I86" s="21"/>
      <c r="J86" s="13"/>
      <c r="L86" s="26">
        <f>Table1345678101112131415161718192021222324252627283031[[#This Row],[الدولار]]+(Table1345678101112131415161718192021222324252627283031[[#This Row],[اللبناني]]/90)</f>
        <v>0</v>
      </c>
      <c r="M86" s="6"/>
    </row>
    <row r="87" spans="8:19" s="8" customFormat="1" x14ac:dyDescent="0.3">
      <c r="H87" s="5" t="s">
        <v>144</v>
      </c>
      <c r="I87" s="21"/>
      <c r="J87" s="13"/>
      <c r="L87" s="26">
        <f>Table1345678101112131415161718192021222324252627283031[[#This Row],[الدولار]]+(Table1345678101112131415161718192021222324252627283031[[#This Row],[اللبناني]]/90)</f>
        <v>0</v>
      </c>
      <c r="M87" s="6"/>
    </row>
    <row r="88" spans="8:19" s="8" customFormat="1" x14ac:dyDescent="0.3">
      <c r="H88" s="5" t="s">
        <v>144</v>
      </c>
      <c r="I88" s="21"/>
      <c r="J88" s="13"/>
      <c r="L88" s="26">
        <f>Table1345678101112131415161718192021222324252627283031[[#This Row],[الدولار]]+(Table1345678101112131415161718192021222324252627283031[[#This Row],[اللبناني]]/90)</f>
        <v>0</v>
      </c>
      <c r="M88" s="6"/>
    </row>
    <row r="89" spans="8:19" s="8" customFormat="1" x14ac:dyDescent="0.3">
      <c r="H89" s="5" t="s">
        <v>144</v>
      </c>
      <c r="I89" s="21"/>
      <c r="J89" s="13"/>
      <c r="L89" s="26">
        <f>Table1345678101112131415161718192021222324252627283031[[#This Row],[الدولار]]+(Table1345678101112131415161718192021222324252627283031[[#This Row],[اللبناني]]/90)</f>
        <v>0</v>
      </c>
      <c r="M89" s="6"/>
    </row>
    <row r="90" spans="8:19" s="8" customFormat="1" x14ac:dyDescent="0.3">
      <c r="H90" s="5" t="s">
        <v>144</v>
      </c>
      <c r="I90" s="21"/>
      <c r="J90" s="13"/>
      <c r="L90" s="26">
        <f>Table1345678101112131415161718192021222324252627283031[[#This Row],[الدولار]]+(Table1345678101112131415161718192021222324252627283031[[#This Row],[اللبناني]]/90)</f>
        <v>0</v>
      </c>
      <c r="M90" s="6"/>
    </row>
    <row r="91" spans="8:19" s="8" customFormat="1" x14ac:dyDescent="0.3">
      <c r="H91" s="5" t="s">
        <v>144</v>
      </c>
      <c r="I91" s="21"/>
      <c r="J91" s="13"/>
      <c r="L91" s="26">
        <f>Table1345678101112131415161718192021222324252627283031[[#This Row],[الدولار]]+(Table1345678101112131415161718192021222324252627283031[[#This Row],[اللبناني]]/90)</f>
        <v>0</v>
      </c>
      <c r="M91" s="6"/>
    </row>
    <row r="92" spans="8:19" s="8" customFormat="1" x14ac:dyDescent="0.3">
      <c r="H92" s="5" t="s">
        <v>144</v>
      </c>
      <c r="I92" s="21"/>
      <c r="J92" s="13"/>
      <c r="L92" s="26">
        <f>Table1345678101112131415161718192021222324252627283031[[#This Row],[الدولار]]+(Table1345678101112131415161718192021222324252627283031[[#This Row],[اللبناني]]/90)</f>
        <v>0</v>
      </c>
      <c r="M92" s="6"/>
    </row>
    <row r="93" spans="8:19" s="8" customFormat="1" x14ac:dyDescent="0.3">
      <c r="H93" s="5" t="s">
        <v>144</v>
      </c>
      <c r="I93" s="21"/>
      <c r="J93" s="13"/>
      <c r="L93" s="26">
        <f>Table1345678101112131415161718192021222324252627283031[[#This Row],[الدولار]]+(Table1345678101112131415161718192021222324252627283031[[#This Row],[اللبناني]]/90)</f>
        <v>0</v>
      </c>
      <c r="M93" s="6"/>
    </row>
    <row r="94" spans="8:19" s="8" customFormat="1" x14ac:dyDescent="0.3">
      <c r="H94" s="5" t="s">
        <v>144</v>
      </c>
      <c r="I94" s="21"/>
      <c r="J94" s="13"/>
      <c r="L94" s="26">
        <f>Table1345678101112131415161718192021222324252627283031[[#This Row],[الدولار]]+(Table1345678101112131415161718192021222324252627283031[[#This Row],[اللبناني]]/90)</f>
        <v>0</v>
      </c>
      <c r="M94" s="6"/>
    </row>
    <row r="95" spans="8:19" s="8" customFormat="1" x14ac:dyDescent="0.3">
      <c r="H95" s="5" t="s">
        <v>144</v>
      </c>
      <c r="I95" s="21"/>
      <c r="J95" s="13"/>
      <c r="L95" s="26">
        <f>Table1345678101112131415161718192021222324252627283031[[#This Row],[الدولار]]+(Table1345678101112131415161718192021222324252627283031[[#This Row],[اللبناني]]/90)</f>
        <v>0</v>
      </c>
      <c r="M95" s="6"/>
    </row>
    <row r="96" spans="8:19" s="8" customFormat="1" x14ac:dyDescent="0.3">
      <c r="H96" s="5" t="s">
        <v>144</v>
      </c>
      <c r="I96" s="21"/>
      <c r="J96" s="13"/>
      <c r="L96" s="26">
        <f>Table1345678101112131415161718192021222324252627283031[[#This Row],[الدولار]]+(Table1345678101112131415161718192021222324252627283031[[#This Row],[اللبناني]]/90)</f>
        <v>0</v>
      </c>
      <c r="M96" s="6"/>
    </row>
    <row r="97" spans="8:13" s="8" customFormat="1" x14ac:dyDescent="0.3">
      <c r="H97" s="5" t="s">
        <v>144</v>
      </c>
      <c r="I97" s="21"/>
      <c r="J97" s="13"/>
      <c r="L97" s="26">
        <f>Table1345678101112131415161718192021222324252627283031[[#This Row],[الدولار]]+(Table1345678101112131415161718192021222324252627283031[[#This Row],[اللبناني]]/90)</f>
        <v>0</v>
      </c>
      <c r="M97" s="6"/>
    </row>
    <row r="98" spans="8:13" s="8" customFormat="1" x14ac:dyDescent="0.3">
      <c r="H98" s="5" t="s">
        <v>144</v>
      </c>
      <c r="I98" s="21"/>
      <c r="J98" s="13"/>
      <c r="L98" s="26">
        <f>Table1345678101112131415161718192021222324252627283031[[#This Row],[الدولار]]+(Table1345678101112131415161718192021222324252627283031[[#This Row],[اللبناني]]/90)</f>
        <v>0</v>
      </c>
      <c r="M98" s="6"/>
    </row>
    <row r="99" spans="8:13" s="8" customFormat="1" x14ac:dyDescent="0.3">
      <c r="H99" s="5" t="s">
        <v>144</v>
      </c>
      <c r="I99" s="21"/>
      <c r="J99" s="13"/>
      <c r="L99" s="26">
        <f>Table1345678101112131415161718192021222324252627283031[[#This Row],[الدولار]]+(Table1345678101112131415161718192021222324252627283031[[#This Row],[اللبناني]]/90)</f>
        <v>0</v>
      </c>
      <c r="M99" s="6"/>
    </row>
    <row r="100" spans="8:13" s="8" customFormat="1" x14ac:dyDescent="0.3">
      <c r="H100" s="5" t="s">
        <v>144</v>
      </c>
      <c r="I100" s="21"/>
      <c r="J100" s="13"/>
      <c r="L100" s="26">
        <f>Table1345678101112131415161718192021222324252627283031[[#This Row],[الدولار]]+(Table1345678101112131415161718192021222324252627283031[[#This Row],[اللبناني]]/90)</f>
        <v>0</v>
      </c>
      <c r="M100" s="6"/>
    </row>
    <row r="101" spans="8:13" s="8" customFormat="1" x14ac:dyDescent="0.3">
      <c r="H101" s="5" t="s">
        <v>144</v>
      </c>
      <c r="I101" s="21"/>
      <c r="J101" s="13"/>
      <c r="L101" s="26">
        <f>Table1345678101112131415161718192021222324252627283031[[#This Row],[الدولار]]+(Table1345678101112131415161718192021222324252627283031[[#This Row],[اللبناني]]/90)</f>
        <v>0</v>
      </c>
      <c r="M101" s="6"/>
    </row>
    <row r="102" spans="8:13" s="8" customFormat="1" x14ac:dyDescent="0.3">
      <c r="H102" s="5" t="s">
        <v>144</v>
      </c>
      <c r="I102" s="21"/>
      <c r="J102" s="13"/>
      <c r="L102" s="26">
        <f>Table1345678101112131415161718192021222324252627283031[[#This Row],[الدولار]]+(Table1345678101112131415161718192021222324252627283031[[#This Row],[اللبناني]]/90)</f>
        <v>0</v>
      </c>
      <c r="M102" s="6"/>
    </row>
    <row r="103" spans="8:13" s="8" customFormat="1" x14ac:dyDescent="0.3">
      <c r="H103" s="5" t="s">
        <v>144</v>
      </c>
      <c r="I103" s="21"/>
      <c r="J103" s="13"/>
      <c r="L103" s="26">
        <f>Table1345678101112131415161718192021222324252627283031[[#This Row],[الدولار]]+(Table1345678101112131415161718192021222324252627283031[[#This Row],[اللبناني]]/90)</f>
        <v>0</v>
      </c>
      <c r="M103" s="6"/>
    </row>
    <row r="104" spans="8:13" s="8" customFormat="1" x14ac:dyDescent="0.3">
      <c r="H104" s="5" t="s">
        <v>144</v>
      </c>
      <c r="I104" s="21"/>
      <c r="J104" s="13"/>
      <c r="L104" s="26">
        <f>Table1345678101112131415161718192021222324252627283031[[#This Row],[الدولار]]+(Table1345678101112131415161718192021222324252627283031[[#This Row],[اللبناني]]/90)</f>
        <v>0</v>
      </c>
      <c r="M104" s="6"/>
    </row>
    <row r="105" spans="8:13" s="8" customFormat="1" x14ac:dyDescent="0.3">
      <c r="H105" s="5" t="s">
        <v>144</v>
      </c>
      <c r="I105" s="21"/>
      <c r="J105" s="13"/>
      <c r="L105" s="26">
        <f>Table1345678101112131415161718192021222324252627283031[[#This Row],[الدولار]]+(Table1345678101112131415161718192021222324252627283031[[#This Row],[اللبناني]]/90)</f>
        <v>0</v>
      </c>
      <c r="M105" s="6"/>
    </row>
    <row r="106" spans="8:13" s="8" customFormat="1" x14ac:dyDescent="0.3">
      <c r="H106" s="5" t="s">
        <v>144</v>
      </c>
      <c r="I106" s="21"/>
      <c r="J106" s="13"/>
      <c r="L106" s="26">
        <f>Table1345678101112131415161718192021222324252627283031[[#This Row],[الدولار]]+(Table1345678101112131415161718192021222324252627283031[[#This Row],[اللبناني]]/90)</f>
        <v>0</v>
      </c>
      <c r="M106" s="6"/>
    </row>
    <row r="107" spans="8:13" s="8" customFormat="1" x14ac:dyDescent="0.3">
      <c r="H107" s="5" t="s">
        <v>144</v>
      </c>
      <c r="I107" s="21"/>
      <c r="J107" s="13"/>
      <c r="L107" s="26">
        <f>Table1345678101112131415161718192021222324252627283031[[#This Row],[الدولار]]+(Table1345678101112131415161718192021222324252627283031[[#This Row],[اللبناني]]/90)</f>
        <v>0</v>
      </c>
      <c r="M107" s="6"/>
    </row>
    <row r="108" spans="8:13" s="8" customFormat="1" x14ac:dyDescent="0.3">
      <c r="H108" s="5" t="s">
        <v>144</v>
      </c>
      <c r="I108" s="21"/>
      <c r="J108" s="13"/>
      <c r="L108" s="26">
        <f>Table1345678101112131415161718192021222324252627283031[[#This Row],[الدولار]]+(Table1345678101112131415161718192021222324252627283031[[#This Row],[اللبناني]]/90)</f>
        <v>0</v>
      </c>
      <c r="M108" s="6"/>
    </row>
    <row r="109" spans="8:13" s="8" customFormat="1" x14ac:dyDescent="0.3">
      <c r="H109" s="5" t="s">
        <v>144</v>
      </c>
      <c r="I109" s="21"/>
      <c r="J109" s="13"/>
      <c r="L109" s="26">
        <f>Table1345678101112131415161718192021222324252627283031[[#This Row],[الدولار]]+(Table1345678101112131415161718192021222324252627283031[[#This Row],[اللبناني]]/90)</f>
        <v>0</v>
      </c>
      <c r="M109" s="6"/>
    </row>
    <row r="110" spans="8:13" s="8" customFormat="1" x14ac:dyDescent="0.3">
      <c r="H110" s="5" t="s">
        <v>144</v>
      </c>
      <c r="I110" s="21"/>
      <c r="J110" s="13"/>
      <c r="L110" s="26">
        <f>Table1345678101112131415161718192021222324252627283031[[#This Row],[الدولار]]+(Table1345678101112131415161718192021222324252627283031[[#This Row],[اللبناني]]/90)</f>
        <v>0</v>
      </c>
      <c r="M110" s="6"/>
    </row>
    <row r="111" spans="8:13" s="8" customFormat="1" x14ac:dyDescent="0.3">
      <c r="H111" s="5" t="s">
        <v>144</v>
      </c>
      <c r="I111" s="21"/>
      <c r="J111" s="13"/>
      <c r="L111" s="26">
        <f>Table1345678101112131415161718192021222324252627283031[[#This Row],[الدولار]]+(Table1345678101112131415161718192021222324252627283031[[#This Row],[اللبناني]]/90)</f>
        <v>0</v>
      </c>
      <c r="M111" s="6"/>
    </row>
    <row r="112" spans="8:13" s="8" customFormat="1" x14ac:dyDescent="0.3">
      <c r="H112" s="5" t="s">
        <v>144</v>
      </c>
      <c r="I112" s="21"/>
      <c r="J112" s="13"/>
      <c r="L112" s="26">
        <f>Table1345678101112131415161718192021222324252627283031[[#This Row],[الدولار]]+(Table1345678101112131415161718192021222324252627283031[[#This Row],[اللبناني]]/90)</f>
        <v>0</v>
      </c>
      <c r="M112" s="6"/>
    </row>
    <row r="113" spans="8:13" s="8" customFormat="1" x14ac:dyDescent="0.3">
      <c r="H113" s="5" t="s">
        <v>144</v>
      </c>
      <c r="I113" s="21"/>
      <c r="J113" s="13"/>
      <c r="L113" s="26">
        <f>Table1345678101112131415161718192021222324252627283031[[#This Row],[الدولار]]+(Table1345678101112131415161718192021222324252627283031[[#This Row],[اللبناني]]/90)</f>
        <v>0</v>
      </c>
      <c r="M113" s="6"/>
    </row>
    <row r="114" spans="8:13" s="8" customFormat="1" x14ac:dyDescent="0.3">
      <c r="H114" s="5" t="s">
        <v>144</v>
      </c>
      <c r="I114" s="21"/>
      <c r="J114" s="13"/>
      <c r="L114" s="26">
        <f>Table1345678101112131415161718192021222324252627283031[[#This Row],[الدولار]]+(Table1345678101112131415161718192021222324252627283031[[#This Row],[اللبناني]]/90)</f>
        <v>0</v>
      </c>
      <c r="M114" s="6"/>
    </row>
    <row r="115" spans="8:13" s="8" customFormat="1" x14ac:dyDescent="0.3">
      <c r="H115" s="5" t="s">
        <v>144</v>
      </c>
      <c r="I115" s="21"/>
      <c r="J115" s="13"/>
      <c r="L115" s="26">
        <f>Table1345678101112131415161718192021222324252627283031[[#This Row],[الدولار]]+(Table1345678101112131415161718192021222324252627283031[[#This Row],[اللبناني]]/90)</f>
        <v>0</v>
      </c>
      <c r="M115" s="6"/>
    </row>
    <row r="116" spans="8:13" s="8" customFormat="1" x14ac:dyDescent="0.3">
      <c r="H116" s="5" t="s">
        <v>144</v>
      </c>
      <c r="I116" s="21"/>
      <c r="J116" s="13"/>
      <c r="L116" s="26">
        <f>Table1345678101112131415161718192021222324252627283031[[#This Row],[الدولار]]+(Table1345678101112131415161718192021222324252627283031[[#This Row],[اللبناني]]/90)</f>
        <v>0</v>
      </c>
      <c r="M116" s="6"/>
    </row>
    <row r="117" spans="8:13" s="8" customFormat="1" x14ac:dyDescent="0.3">
      <c r="H117" s="5" t="s">
        <v>144</v>
      </c>
      <c r="I117" s="21"/>
      <c r="J117" s="13"/>
      <c r="L117" s="26">
        <f>Table1345678101112131415161718192021222324252627283031[[#This Row],[الدولار]]+(Table1345678101112131415161718192021222324252627283031[[#This Row],[اللبناني]]/90)</f>
        <v>0</v>
      </c>
      <c r="M117" s="6"/>
    </row>
    <row r="118" spans="8:13" s="8" customFormat="1" x14ac:dyDescent="0.3">
      <c r="H118" s="5" t="s">
        <v>144</v>
      </c>
      <c r="I118" s="21"/>
      <c r="J118" s="13"/>
      <c r="L118" s="26">
        <f>Table1345678101112131415161718192021222324252627283031[[#This Row],[الدولار]]+(Table1345678101112131415161718192021222324252627283031[[#This Row],[اللبناني]]/90)</f>
        <v>0</v>
      </c>
      <c r="M118" s="6"/>
    </row>
    <row r="119" spans="8:13" s="8" customFormat="1" x14ac:dyDescent="0.3">
      <c r="H119" s="5" t="s">
        <v>144</v>
      </c>
      <c r="I119" s="21"/>
      <c r="J119" s="13"/>
      <c r="L119" s="26">
        <f>Table1345678101112131415161718192021222324252627283031[[#This Row],[الدولار]]+(Table1345678101112131415161718192021222324252627283031[[#This Row],[اللبناني]]/90)</f>
        <v>0</v>
      </c>
      <c r="M119" s="6"/>
    </row>
    <row r="120" spans="8:13" s="8" customFormat="1" x14ac:dyDescent="0.3">
      <c r="H120" s="5" t="s">
        <v>144</v>
      </c>
      <c r="I120" s="21"/>
      <c r="J120" s="13"/>
      <c r="L120" s="26">
        <f>Table1345678101112131415161718192021222324252627283031[[#This Row],[الدولار]]+(Table1345678101112131415161718192021222324252627283031[[#This Row],[اللبناني]]/90)</f>
        <v>0</v>
      </c>
      <c r="M120" s="6"/>
    </row>
    <row r="121" spans="8:13" s="8" customFormat="1" x14ac:dyDescent="0.3">
      <c r="H121" s="5" t="s">
        <v>144</v>
      </c>
      <c r="I121" s="21"/>
      <c r="J121" s="13"/>
      <c r="L121" s="26">
        <f>Table1345678101112131415161718192021222324252627283031[[#This Row],[الدولار]]+(Table1345678101112131415161718192021222324252627283031[[#This Row],[اللبناني]]/90)</f>
        <v>0</v>
      </c>
      <c r="M121" s="6"/>
    </row>
    <row r="122" spans="8:13" s="8" customFormat="1" x14ac:dyDescent="0.3">
      <c r="H122" s="5" t="s">
        <v>144</v>
      </c>
      <c r="I122" s="21"/>
      <c r="J122" s="13"/>
      <c r="L122" s="26">
        <f>Table1345678101112131415161718192021222324252627283031[[#This Row],[الدولار]]+(Table1345678101112131415161718192021222324252627283031[[#This Row],[اللبناني]]/90)</f>
        <v>0</v>
      </c>
      <c r="M122" s="6"/>
    </row>
    <row r="123" spans="8:13" s="8" customFormat="1" x14ac:dyDescent="0.3">
      <c r="H123" s="5" t="s">
        <v>144</v>
      </c>
      <c r="I123" s="21"/>
      <c r="J123" s="13"/>
      <c r="L123" s="26">
        <f>Table1345678101112131415161718192021222324252627283031[[#This Row],[الدولار]]+(Table1345678101112131415161718192021222324252627283031[[#This Row],[اللبناني]]/90)</f>
        <v>0</v>
      </c>
      <c r="M123" s="6"/>
    </row>
    <row r="124" spans="8:13" s="8" customFormat="1" x14ac:dyDescent="0.3">
      <c r="H124" s="5" t="s">
        <v>144</v>
      </c>
      <c r="I124" s="21"/>
      <c r="J124" s="13"/>
      <c r="L124" s="26">
        <f>Table1345678101112131415161718192021222324252627283031[[#This Row],[الدولار]]+(Table1345678101112131415161718192021222324252627283031[[#This Row],[اللبناني]]/90)</f>
        <v>0</v>
      </c>
      <c r="M124" s="6"/>
    </row>
    <row r="125" spans="8:13" s="8" customFormat="1" x14ac:dyDescent="0.3">
      <c r="H125" s="5" t="s">
        <v>144</v>
      </c>
      <c r="I125" s="21"/>
      <c r="J125" s="13"/>
      <c r="L125" s="26">
        <f>Table1345678101112131415161718192021222324252627283031[[#This Row],[الدولار]]+(Table1345678101112131415161718192021222324252627283031[[#This Row],[اللبناني]]/90)</f>
        <v>0</v>
      </c>
      <c r="M125" s="6"/>
    </row>
    <row r="126" spans="8:13" s="8" customFormat="1" x14ac:dyDescent="0.3">
      <c r="H126" s="5" t="s">
        <v>144</v>
      </c>
      <c r="I126" s="21"/>
      <c r="J126" s="13"/>
      <c r="L126" s="26">
        <f>Table1345678101112131415161718192021222324252627283031[[#This Row],[الدولار]]+(Table1345678101112131415161718192021222324252627283031[[#This Row],[اللبناني]]/90)</f>
        <v>0</v>
      </c>
      <c r="M126" s="6"/>
    </row>
    <row r="127" spans="8:13" s="8" customFormat="1" x14ac:dyDescent="0.3">
      <c r="H127" s="5" t="s">
        <v>144</v>
      </c>
      <c r="I127" s="21"/>
      <c r="J127" s="13"/>
      <c r="L127" s="26">
        <f>Table1345678101112131415161718192021222324252627283031[[#This Row],[الدولار]]+(Table1345678101112131415161718192021222324252627283031[[#This Row],[اللبناني]]/90)</f>
        <v>0</v>
      </c>
      <c r="M127" s="6"/>
    </row>
    <row r="128" spans="8:13" s="8" customFormat="1" x14ac:dyDescent="0.3">
      <c r="H128" s="5" t="s">
        <v>144</v>
      </c>
      <c r="I128" s="21"/>
      <c r="J128" s="13"/>
      <c r="L128" s="26">
        <f>Table1345678101112131415161718192021222324252627283031[[#This Row],[الدولار]]+(Table1345678101112131415161718192021222324252627283031[[#This Row],[اللبناني]]/90)</f>
        <v>0</v>
      </c>
      <c r="M128" s="6"/>
    </row>
    <row r="129" spans="8:13" s="8" customFormat="1" x14ac:dyDescent="0.3">
      <c r="H129" s="5" t="s">
        <v>144</v>
      </c>
      <c r="I129" s="21"/>
      <c r="J129" s="13"/>
      <c r="L129" s="26">
        <f>Table1345678101112131415161718192021222324252627283031[[#This Row],[الدولار]]+(Table1345678101112131415161718192021222324252627283031[[#This Row],[اللبناني]]/90)</f>
        <v>0</v>
      </c>
      <c r="M129" s="6"/>
    </row>
    <row r="130" spans="8:13" s="8" customFormat="1" x14ac:dyDescent="0.3">
      <c r="H130" s="5" t="s">
        <v>144</v>
      </c>
      <c r="I130" s="21"/>
      <c r="J130" s="13"/>
      <c r="L130" s="26">
        <f>Table1345678101112131415161718192021222324252627283031[[#This Row],[الدولار]]+(Table1345678101112131415161718192021222324252627283031[[#This Row],[اللبناني]]/90)</f>
        <v>0</v>
      </c>
      <c r="M130" s="6"/>
    </row>
    <row r="131" spans="8:13" s="8" customFormat="1" x14ac:dyDescent="0.3">
      <c r="H131" s="5" t="s">
        <v>144</v>
      </c>
      <c r="I131" s="21"/>
      <c r="J131" s="13"/>
      <c r="L131" s="26">
        <f>Table1345678101112131415161718192021222324252627283031[[#This Row],[الدولار]]+(Table1345678101112131415161718192021222324252627283031[[#This Row],[اللبناني]]/90)</f>
        <v>0</v>
      </c>
      <c r="M131" s="6"/>
    </row>
    <row r="132" spans="8:13" s="8" customFormat="1" x14ac:dyDescent="0.3">
      <c r="H132" s="5" t="s">
        <v>144</v>
      </c>
      <c r="I132" s="21"/>
      <c r="J132" s="13"/>
      <c r="L132" s="26">
        <f>Table1345678101112131415161718192021222324252627283031[[#This Row],[الدولار]]+(Table1345678101112131415161718192021222324252627283031[[#This Row],[اللبناني]]/90)</f>
        <v>0</v>
      </c>
      <c r="M132" s="6"/>
    </row>
    <row r="133" spans="8:13" s="8" customFormat="1" x14ac:dyDescent="0.3">
      <c r="H133" s="5" t="s">
        <v>144</v>
      </c>
      <c r="I133" s="21"/>
      <c r="J133" s="13"/>
      <c r="L133" s="26">
        <f>Table1345678101112131415161718192021222324252627283031[[#This Row],[الدولار]]+(Table1345678101112131415161718192021222324252627283031[[#This Row],[اللبناني]]/90)</f>
        <v>0</v>
      </c>
      <c r="M133" s="6"/>
    </row>
    <row r="134" spans="8:13" s="8" customFormat="1" x14ac:dyDescent="0.3">
      <c r="H134" s="5" t="s">
        <v>144</v>
      </c>
      <c r="I134" s="21"/>
      <c r="J134" s="13"/>
      <c r="L134" s="26">
        <f>Table1345678101112131415161718192021222324252627283031[[#This Row],[الدولار]]+(Table1345678101112131415161718192021222324252627283031[[#This Row],[اللبناني]]/90)</f>
        <v>0</v>
      </c>
      <c r="M134" s="6"/>
    </row>
    <row r="135" spans="8:13" s="8" customFormat="1" x14ac:dyDescent="0.3">
      <c r="H135" s="5" t="s">
        <v>144</v>
      </c>
      <c r="I135" s="21"/>
      <c r="J135" s="13"/>
      <c r="L135" s="26">
        <f>Table1345678101112131415161718192021222324252627283031[[#This Row],[الدولار]]+(Table1345678101112131415161718192021222324252627283031[[#This Row],[اللبناني]]/90)</f>
        <v>0</v>
      </c>
      <c r="M135" s="6"/>
    </row>
    <row r="136" spans="8:13" s="8" customFormat="1" x14ac:dyDescent="0.3">
      <c r="H136" s="5" t="s">
        <v>144</v>
      </c>
      <c r="I136" s="21"/>
      <c r="J136" s="13"/>
      <c r="L136" s="26">
        <f>Table1345678101112131415161718192021222324252627283031[[#This Row],[الدولار]]+(Table1345678101112131415161718192021222324252627283031[[#This Row],[اللبناني]]/90)</f>
        <v>0</v>
      </c>
      <c r="M136" s="6"/>
    </row>
    <row r="137" spans="8:13" s="8" customFormat="1" x14ac:dyDescent="0.3">
      <c r="H137" s="5" t="s">
        <v>144</v>
      </c>
      <c r="I137" s="21"/>
      <c r="J137" s="13"/>
      <c r="L137" s="26">
        <f>Table1345678101112131415161718192021222324252627283031[[#This Row],[الدولار]]+(Table1345678101112131415161718192021222324252627283031[[#This Row],[اللبناني]]/90)</f>
        <v>0</v>
      </c>
      <c r="M137" s="6"/>
    </row>
    <row r="138" spans="8:13" s="8" customFormat="1" x14ac:dyDescent="0.3">
      <c r="H138" s="5" t="s">
        <v>144</v>
      </c>
      <c r="I138" s="21"/>
      <c r="J138" s="13"/>
      <c r="L138" s="26">
        <f>Table1345678101112131415161718192021222324252627283031[[#This Row],[الدولار]]+(Table1345678101112131415161718192021222324252627283031[[#This Row],[اللبناني]]/90)</f>
        <v>0</v>
      </c>
      <c r="M138" s="6"/>
    </row>
    <row r="139" spans="8:13" s="8" customFormat="1" x14ac:dyDescent="0.3">
      <c r="H139" s="5" t="s">
        <v>144</v>
      </c>
      <c r="I139" s="21"/>
      <c r="J139" s="13"/>
      <c r="L139" s="26">
        <f>Table1345678101112131415161718192021222324252627283031[[#This Row],[الدولار]]+(Table1345678101112131415161718192021222324252627283031[[#This Row],[اللبناني]]/90)</f>
        <v>0</v>
      </c>
      <c r="M139" s="6"/>
    </row>
    <row r="140" spans="8:13" s="8" customFormat="1" x14ac:dyDescent="0.3">
      <c r="H140" s="5" t="s">
        <v>144</v>
      </c>
      <c r="I140" s="21"/>
      <c r="J140" s="13"/>
      <c r="L140" s="26">
        <f>Table1345678101112131415161718192021222324252627283031[[#This Row],[الدولار]]+(Table1345678101112131415161718192021222324252627283031[[#This Row],[اللبناني]]/90)</f>
        <v>0</v>
      </c>
      <c r="M140" s="6"/>
    </row>
    <row r="141" spans="8:13" s="8" customFormat="1" x14ac:dyDescent="0.3">
      <c r="H141" s="5" t="s">
        <v>144</v>
      </c>
      <c r="I141" s="21"/>
      <c r="J141" s="13"/>
      <c r="L141" s="26">
        <f>Table1345678101112131415161718192021222324252627283031[[#This Row],[الدولار]]+(Table1345678101112131415161718192021222324252627283031[[#This Row],[اللبناني]]/90)</f>
        <v>0</v>
      </c>
      <c r="M141" s="6"/>
    </row>
    <row r="142" spans="8:13" s="8" customFormat="1" x14ac:dyDescent="0.3">
      <c r="H142" s="5" t="s">
        <v>144</v>
      </c>
      <c r="I142" s="21"/>
      <c r="J142" s="13"/>
      <c r="L142" s="26">
        <f>Table1345678101112131415161718192021222324252627283031[[#This Row],[الدولار]]+(Table1345678101112131415161718192021222324252627283031[[#This Row],[اللبناني]]/90)</f>
        <v>0</v>
      </c>
      <c r="M142" s="6"/>
    </row>
    <row r="143" spans="8:13" s="8" customFormat="1" x14ac:dyDescent="0.3">
      <c r="H143" s="5" t="s">
        <v>144</v>
      </c>
      <c r="I143" s="21"/>
      <c r="J143" s="13"/>
      <c r="L143" s="26">
        <f>Table1345678101112131415161718192021222324252627283031[[#This Row],[الدولار]]+(Table1345678101112131415161718192021222324252627283031[[#This Row],[اللبناني]]/90)</f>
        <v>0</v>
      </c>
      <c r="M143" s="6"/>
    </row>
    <row r="144" spans="8:13" s="8" customFormat="1" x14ac:dyDescent="0.3">
      <c r="H144" s="5" t="s">
        <v>144</v>
      </c>
      <c r="I144" s="21"/>
      <c r="J144" s="13"/>
      <c r="L144" s="26">
        <f>Table1345678101112131415161718192021222324252627283031[[#This Row],[الدولار]]+(Table1345678101112131415161718192021222324252627283031[[#This Row],[اللبناني]]/90)</f>
        <v>0</v>
      </c>
      <c r="M144" s="6"/>
    </row>
    <row r="145" spans="8:13" s="8" customFormat="1" x14ac:dyDescent="0.3">
      <c r="H145" s="5" t="s">
        <v>144</v>
      </c>
      <c r="I145" s="21"/>
      <c r="J145" s="13"/>
      <c r="L145" s="26">
        <f>Table1345678101112131415161718192021222324252627283031[[#This Row],[الدولار]]+(Table1345678101112131415161718192021222324252627283031[[#This Row],[اللبناني]]/90)</f>
        <v>0</v>
      </c>
      <c r="M145" s="6"/>
    </row>
    <row r="146" spans="8:13" s="8" customFormat="1" x14ac:dyDescent="0.3">
      <c r="H146" s="5" t="s">
        <v>144</v>
      </c>
      <c r="I146" s="21"/>
      <c r="J146" s="13"/>
      <c r="L146" s="26">
        <f>Table1345678101112131415161718192021222324252627283031[[#This Row],[الدولار]]+(Table1345678101112131415161718192021222324252627283031[[#This Row],[اللبناني]]/90)</f>
        <v>0</v>
      </c>
      <c r="M146" s="6"/>
    </row>
    <row r="147" spans="8:13" s="8" customFormat="1" x14ac:dyDescent="0.3">
      <c r="H147" s="5" t="s">
        <v>144</v>
      </c>
      <c r="I147" s="21"/>
      <c r="J147" s="13"/>
      <c r="L147" s="26">
        <f>Table1345678101112131415161718192021222324252627283031[[#This Row],[الدولار]]+(Table1345678101112131415161718192021222324252627283031[[#This Row],[اللبناني]]/90)</f>
        <v>0</v>
      </c>
      <c r="M147" s="6"/>
    </row>
    <row r="148" spans="8:13" s="8" customFormat="1" x14ac:dyDescent="0.3">
      <c r="H148" s="5" t="s">
        <v>144</v>
      </c>
      <c r="I148" s="21"/>
      <c r="J148" s="13"/>
      <c r="L148" s="26">
        <f>Table1345678101112131415161718192021222324252627283031[[#This Row],[الدولار]]+(Table1345678101112131415161718192021222324252627283031[[#This Row],[اللبناني]]/90)</f>
        <v>0</v>
      </c>
      <c r="M148" s="6"/>
    </row>
    <row r="149" spans="8:13" s="8" customFormat="1" x14ac:dyDescent="0.3">
      <c r="H149" s="5" t="s">
        <v>144</v>
      </c>
      <c r="I149" s="21"/>
      <c r="J149" s="13"/>
      <c r="L149" s="26">
        <f>Table1345678101112131415161718192021222324252627283031[[#This Row],[الدولار]]+(Table1345678101112131415161718192021222324252627283031[[#This Row],[اللبناني]]/90)</f>
        <v>0</v>
      </c>
      <c r="M149" s="6"/>
    </row>
    <row r="150" spans="8:13" s="8" customFormat="1" x14ac:dyDescent="0.3">
      <c r="H150" s="5" t="s">
        <v>144</v>
      </c>
      <c r="I150" s="21"/>
      <c r="J150" s="13"/>
      <c r="L150" s="26">
        <f>Table1345678101112131415161718192021222324252627283031[[#This Row],[الدولار]]+(Table1345678101112131415161718192021222324252627283031[[#This Row],[اللبناني]]/90)</f>
        <v>0</v>
      </c>
      <c r="M150" s="6"/>
    </row>
    <row r="151" spans="8:13" s="8" customFormat="1" x14ac:dyDescent="0.3">
      <c r="H151" s="5" t="s">
        <v>144</v>
      </c>
      <c r="I151" s="21"/>
      <c r="J151" s="13"/>
      <c r="L151" s="26">
        <f>Table1345678101112131415161718192021222324252627283031[[#This Row],[الدولار]]+(Table1345678101112131415161718192021222324252627283031[[#This Row],[اللبناني]]/90)</f>
        <v>0</v>
      </c>
      <c r="M151" s="6"/>
    </row>
    <row r="152" spans="8:13" s="8" customFormat="1" x14ac:dyDescent="0.3">
      <c r="H152" s="5" t="s">
        <v>144</v>
      </c>
      <c r="I152" s="21"/>
      <c r="J152" s="13"/>
      <c r="L152" s="26">
        <f>Table1345678101112131415161718192021222324252627283031[[#This Row],[الدولار]]+(Table1345678101112131415161718192021222324252627283031[[#This Row],[اللبناني]]/90)</f>
        <v>0</v>
      </c>
      <c r="M152" s="6"/>
    </row>
    <row r="153" spans="8:13" s="8" customFormat="1" x14ac:dyDescent="0.3">
      <c r="H153" s="5" t="s">
        <v>144</v>
      </c>
      <c r="I153" s="21"/>
      <c r="J153" s="13"/>
      <c r="L153" s="26">
        <f>Table1345678101112131415161718192021222324252627283031[[#This Row],[الدولار]]+(Table1345678101112131415161718192021222324252627283031[[#This Row],[اللبناني]]/90)</f>
        <v>0</v>
      </c>
      <c r="M153" s="6"/>
    </row>
    <row r="154" spans="8:13" s="8" customFormat="1" x14ac:dyDescent="0.3">
      <c r="H154" s="5" t="s">
        <v>144</v>
      </c>
      <c r="I154" s="21"/>
      <c r="J154" s="13"/>
      <c r="L154" s="26">
        <f>Table1345678101112131415161718192021222324252627283031[[#This Row],[الدولار]]+(Table1345678101112131415161718192021222324252627283031[[#This Row],[اللبناني]]/90)</f>
        <v>0</v>
      </c>
      <c r="M154" s="6"/>
    </row>
    <row r="155" spans="8:13" s="8" customFormat="1" x14ac:dyDescent="0.3">
      <c r="H155" s="5" t="s">
        <v>144</v>
      </c>
      <c r="I155" s="21"/>
      <c r="J155" s="13"/>
      <c r="L155" s="26">
        <f>Table1345678101112131415161718192021222324252627283031[[#This Row],[الدولار]]+(Table1345678101112131415161718192021222324252627283031[[#This Row],[اللبناني]]/90)</f>
        <v>0</v>
      </c>
      <c r="M155" s="6"/>
    </row>
    <row r="156" spans="8:13" s="8" customFormat="1" x14ac:dyDescent="0.3">
      <c r="H156" s="5" t="s">
        <v>144</v>
      </c>
      <c r="I156" s="21"/>
      <c r="J156" s="13"/>
      <c r="L156" s="26">
        <f>Table1345678101112131415161718192021222324252627283031[[#This Row],[الدولار]]+(Table1345678101112131415161718192021222324252627283031[[#This Row],[اللبناني]]/90)</f>
        <v>0</v>
      </c>
      <c r="M156" s="6"/>
    </row>
    <row r="157" spans="8:13" s="8" customFormat="1" x14ac:dyDescent="0.3">
      <c r="H157" s="5" t="s">
        <v>144</v>
      </c>
      <c r="I157" s="21"/>
      <c r="J157" s="13"/>
      <c r="L157" s="26">
        <f>Table1345678101112131415161718192021222324252627283031[[#This Row],[الدولار]]+(Table1345678101112131415161718192021222324252627283031[[#This Row],[اللبناني]]/90)</f>
        <v>0</v>
      </c>
      <c r="M157" s="6"/>
    </row>
    <row r="158" spans="8:13" s="8" customFormat="1" x14ac:dyDescent="0.3">
      <c r="H158" s="5" t="s">
        <v>144</v>
      </c>
      <c r="I158" s="21"/>
      <c r="J158" s="13"/>
      <c r="L158" s="26">
        <f>Table1345678101112131415161718192021222324252627283031[[#This Row],[الدولار]]+(Table1345678101112131415161718192021222324252627283031[[#This Row],[اللبناني]]/90)</f>
        <v>0</v>
      </c>
      <c r="M158" s="6"/>
    </row>
    <row r="159" spans="8:13" s="8" customFormat="1" x14ac:dyDescent="0.3">
      <c r="H159" s="5" t="s">
        <v>144</v>
      </c>
      <c r="I159" s="21"/>
      <c r="J159" s="13"/>
      <c r="L159" s="26">
        <f>Table1345678101112131415161718192021222324252627283031[[#This Row],[الدولار]]+(Table1345678101112131415161718192021222324252627283031[[#This Row],[اللبناني]]/90)</f>
        <v>0</v>
      </c>
      <c r="M159" s="6"/>
    </row>
    <row r="160" spans="8:13" s="8" customFormat="1" x14ac:dyDescent="0.3">
      <c r="H160" s="5" t="s">
        <v>144</v>
      </c>
      <c r="I160" s="21"/>
      <c r="J160" s="13"/>
      <c r="L160" s="26">
        <f>Table1345678101112131415161718192021222324252627283031[[#This Row],[الدولار]]+(Table1345678101112131415161718192021222324252627283031[[#This Row],[اللبناني]]/90)</f>
        <v>0</v>
      </c>
      <c r="M160" s="6"/>
    </row>
    <row r="161" spans="8:13" s="8" customFormat="1" x14ac:dyDescent="0.3">
      <c r="H161" s="5" t="s">
        <v>144</v>
      </c>
      <c r="I161" s="21"/>
      <c r="J161" s="13"/>
      <c r="L161" s="26">
        <f>Table1345678101112131415161718192021222324252627283031[[#This Row],[الدولار]]+(Table1345678101112131415161718192021222324252627283031[[#This Row],[اللبناني]]/90)</f>
        <v>0</v>
      </c>
      <c r="M161" s="6"/>
    </row>
    <row r="162" spans="8:13" s="8" customFormat="1" x14ac:dyDescent="0.3">
      <c r="H162" s="5" t="s">
        <v>144</v>
      </c>
      <c r="I162" s="21"/>
      <c r="J162" s="13"/>
      <c r="L162" s="26">
        <f>Table1345678101112131415161718192021222324252627283031[[#This Row],[الدولار]]+(Table1345678101112131415161718192021222324252627283031[[#This Row],[اللبناني]]/90)</f>
        <v>0</v>
      </c>
      <c r="M162" s="6"/>
    </row>
    <row r="163" spans="8:13" s="8" customFormat="1" x14ac:dyDescent="0.3">
      <c r="H163" s="5" t="s">
        <v>144</v>
      </c>
      <c r="I163" s="21"/>
      <c r="J163" s="13"/>
      <c r="L163" s="26">
        <f>Table1345678101112131415161718192021222324252627283031[[#This Row],[الدولار]]+(Table1345678101112131415161718192021222324252627283031[[#This Row],[اللبناني]]/90)</f>
        <v>0</v>
      </c>
      <c r="M163" s="6"/>
    </row>
    <row r="164" spans="8:13" s="8" customFormat="1" x14ac:dyDescent="0.3">
      <c r="H164" s="5" t="s">
        <v>144</v>
      </c>
      <c r="I164" s="21"/>
      <c r="J164" s="13"/>
      <c r="L164" s="26">
        <f>Table1345678101112131415161718192021222324252627283031[[#This Row],[الدولار]]+(Table1345678101112131415161718192021222324252627283031[[#This Row],[اللبناني]]/90)</f>
        <v>0</v>
      </c>
      <c r="M164" s="6"/>
    </row>
    <row r="165" spans="8:13" s="8" customFormat="1" x14ac:dyDescent="0.3">
      <c r="H165" s="5" t="s">
        <v>144</v>
      </c>
      <c r="I165" s="21"/>
      <c r="J165" s="13"/>
      <c r="L165" s="26">
        <f>Table1345678101112131415161718192021222324252627283031[[#This Row],[الدولار]]+(Table1345678101112131415161718192021222324252627283031[[#This Row],[اللبناني]]/90)</f>
        <v>0</v>
      </c>
      <c r="M165" s="6"/>
    </row>
    <row r="166" spans="8:13" s="8" customFormat="1" x14ac:dyDescent="0.3">
      <c r="H166" s="5" t="s">
        <v>144</v>
      </c>
      <c r="I166" s="21"/>
      <c r="J166" s="13"/>
      <c r="L166" s="26">
        <f>Table1345678101112131415161718192021222324252627283031[[#This Row],[الدولار]]+(Table1345678101112131415161718192021222324252627283031[[#This Row],[اللبناني]]/90)</f>
        <v>0</v>
      </c>
      <c r="M166" s="6"/>
    </row>
    <row r="167" spans="8:13" s="8" customFormat="1" x14ac:dyDescent="0.3">
      <c r="H167" s="5" t="s">
        <v>144</v>
      </c>
      <c r="I167" s="21"/>
      <c r="J167" s="13"/>
      <c r="L167" s="26">
        <f>Table1345678101112131415161718192021222324252627283031[[#This Row],[الدولار]]+(Table1345678101112131415161718192021222324252627283031[[#This Row],[اللبناني]]/90)</f>
        <v>0</v>
      </c>
      <c r="M167" s="6"/>
    </row>
    <row r="168" spans="8:13" s="8" customFormat="1" x14ac:dyDescent="0.3">
      <c r="H168" s="5" t="s">
        <v>144</v>
      </c>
      <c r="I168" s="21"/>
      <c r="J168" s="13"/>
      <c r="L168" s="26">
        <f>Table1345678101112131415161718192021222324252627283031[[#This Row],[الدولار]]+(Table1345678101112131415161718192021222324252627283031[[#This Row],[اللبناني]]/90)</f>
        <v>0</v>
      </c>
      <c r="M168" s="6"/>
    </row>
    <row r="169" spans="8:13" s="8" customFormat="1" x14ac:dyDescent="0.3">
      <c r="H169" s="5" t="s">
        <v>144</v>
      </c>
      <c r="I169" s="21"/>
      <c r="J169" s="13"/>
      <c r="L169" s="26">
        <f>Table1345678101112131415161718192021222324252627283031[[#This Row],[الدولار]]+(Table1345678101112131415161718192021222324252627283031[[#This Row],[اللبناني]]/90)</f>
        <v>0</v>
      </c>
      <c r="M169" s="6"/>
    </row>
    <row r="170" spans="8:13" s="8" customFormat="1" x14ac:dyDescent="0.3">
      <c r="H170" s="5" t="s">
        <v>144</v>
      </c>
      <c r="I170" s="21"/>
      <c r="J170" s="13"/>
      <c r="L170" s="26">
        <f>Table1345678101112131415161718192021222324252627283031[[#This Row],[الدولار]]+(Table1345678101112131415161718192021222324252627283031[[#This Row],[اللبناني]]/90)</f>
        <v>0</v>
      </c>
      <c r="M170" s="6"/>
    </row>
    <row r="171" spans="8:13" s="8" customFormat="1" x14ac:dyDescent="0.3">
      <c r="H171" s="5" t="s">
        <v>144</v>
      </c>
      <c r="I171" s="21"/>
      <c r="J171" s="13"/>
      <c r="L171" s="26">
        <f>Table1345678101112131415161718192021222324252627283031[[#This Row],[الدولار]]+(Table1345678101112131415161718192021222324252627283031[[#This Row],[اللبناني]]/90)</f>
        <v>0</v>
      </c>
      <c r="M171" s="6"/>
    </row>
    <row r="172" spans="8:13" s="8" customFormat="1" x14ac:dyDescent="0.3">
      <c r="H172" s="5" t="s">
        <v>144</v>
      </c>
      <c r="I172" s="21"/>
      <c r="J172" s="13"/>
      <c r="L172" s="26">
        <f>Table1345678101112131415161718192021222324252627283031[[#This Row],[الدولار]]+(Table1345678101112131415161718192021222324252627283031[[#This Row],[اللبناني]]/90)</f>
        <v>0</v>
      </c>
      <c r="M172" s="6"/>
    </row>
    <row r="173" spans="8:13" s="8" customFormat="1" x14ac:dyDescent="0.3">
      <c r="H173" s="5" t="s">
        <v>144</v>
      </c>
      <c r="I173" s="21"/>
      <c r="J173" s="13"/>
      <c r="L173" s="26">
        <f>Table1345678101112131415161718192021222324252627283031[[#This Row],[الدولار]]+(Table1345678101112131415161718192021222324252627283031[[#This Row],[اللبناني]]/90)</f>
        <v>0</v>
      </c>
      <c r="M173" s="6"/>
    </row>
    <row r="174" spans="8:13" s="8" customFormat="1" x14ac:dyDescent="0.3">
      <c r="H174" s="5" t="s">
        <v>144</v>
      </c>
      <c r="I174" s="21"/>
      <c r="J174" s="13"/>
      <c r="L174" s="26">
        <f>Table1345678101112131415161718192021222324252627283031[[#This Row],[الدولار]]+(Table1345678101112131415161718192021222324252627283031[[#This Row],[اللبناني]]/90)</f>
        <v>0</v>
      </c>
      <c r="M174" s="6"/>
    </row>
    <row r="175" spans="8:13" s="8" customFormat="1" x14ac:dyDescent="0.3">
      <c r="H175" s="5" t="s">
        <v>144</v>
      </c>
      <c r="I175" s="21"/>
      <c r="J175" s="13"/>
      <c r="L175" s="26">
        <f>Table1345678101112131415161718192021222324252627283031[[#This Row],[الدولار]]+(Table1345678101112131415161718192021222324252627283031[[#This Row],[اللبناني]]/90)</f>
        <v>0</v>
      </c>
      <c r="M175" s="6"/>
    </row>
    <row r="176" spans="8:13" s="8" customFormat="1" x14ac:dyDescent="0.3">
      <c r="H176" s="5" t="s">
        <v>144</v>
      </c>
      <c r="I176" s="21"/>
      <c r="J176" s="13"/>
      <c r="L176" s="26">
        <f>Table1345678101112131415161718192021222324252627283031[[#This Row],[الدولار]]+(Table1345678101112131415161718192021222324252627283031[[#This Row],[اللبناني]]/90)</f>
        <v>0</v>
      </c>
      <c r="M176" s="6"/>
    </row>
    <row r="177" spans="8:13" s="8" customFormat="1" x14ac:dyDescent="0.3">
      <c r="H177" s="5" t="s">
        <v>144</v>
      </c>
      <c r="I177" s="21"/>
      <c r="J177" s="13"/>
      <c r="L177" s="26">
        <f>Table1345678101112131415161718192021222324252627283031[[#This Row],[الدولار]]+(Table1345678101112131415161718192021222324252627283031[[#This Row],[اللبناني]]/90)</f>
        <v>0</v>
      </c>
      <c r="M177" s="6"/>
    </row>
    <row r="178" spans="8:13" s="8" customFormat="1" x14ac:dyDescent="0.3">
      <c r="H178" s="5" t="s">
        <v>144</v>
      </c>
      <c r="I178" s="21"/>
      <c r="J178" s="13"/>
      <c r="L178" s="26">
        <f>Table1345678101112131415161718192021222324252627283031[[#This Row],[الدولار]]+(Table1345678101112131415161718192021222324252627283031[[#This Row],[اللبناني]]/90)</f>
        <v>0</v>
      </c>
      <c r="M178" s="6"/>
    </row>
    <row r="179" spans="8:13" s="8" customFormat="1" x14ac:dyDescent="0.3">
      <c r="H179" s="5" t="s">
        <v>144</v>
      </c>
      <c r="I179" s="21"/>
      <c r="J179" s="13"/>
      <c r="L179" s="26">
        <f>Table1345678101112131415161718192021222324252627283031[[#This Row],[الدولار]]+(Table1345678101112131415161718192021222324252627283031[[#This Row],[اللبناني]]/90)</f>
        <v>0</v>
      </c>
      <c r="M179" s="6"/>
    </row>
    <row r="180" spans="8:13" s="8" customFormat="1" x14ac:dyDescent="0.3">
      <c r="H180" s="5" t="s">
        <v>144</v>
      </c>
      <c r="I180" s="21"/>
      <c r="J180" s="13"/>
      <c r="L180" s="26">
        <f>Table1345678101112131415161718192021222324252627283031[[#This Row],[الدولار]]+(Table1345678101112131415161718192021222324252627283031[[#This Row],[اللبناني]]/90)</f>
        <v>0</v>
      </c>
      <c r="M180" s="6"/>
    </row>
    <row r="181" spans="8:13" s="8" customFormat="1" x14ac:dyDescent="0.3">
      <c r="H181" s="5" t="s">
        <v>144</v>
      </c>
      <c r="I181" s="21"/>
      <c r="J181" s="13"/>
      <c r="L181" s="26">
        <f>Table1345678101112131415161718192021222324252627283031[[#This Row],[الدولار]]+(Table1345678101112131415161718192021222324252627283031[[#This Row],[اللبناني]]/90)</f>
        <v>0</v>
      </c>
      <c r="M181" s="6"/>
    </row>
    <row r="182" spans="8:13" s="8" customFormat="1" x14ac:dyDescent="0.3">
      <c r="H182" s="5" t="s">
        <v>144</v>
      </c>
      <c r="I182" s="21"/>
      <c r="J182" s="13"/>
      <c r="L182" s="26">
        <f>Table1345678101112131415161718192021222324252627283031[[#This Row],[الدولار]]+(Table1345678101112131415161718192021222324252627283031[[#This Row],[اللبناني]]/90)</f>
        <v>0</v>
      </c>
      <c r="M182" s="6"/>
    </row>
    <row r="183" spans="8:13" s="8" customFormat="1" x14ac:dyDescent="0.3">
      <c r="H183" s="5" t="s">
        <v>144</v>
      </c>
      <c r="I183" s="21"/>
      <c r="J183" s="13"/>
      <c r="L183" s="26">
        <f>Table1345678101112131415161718192021222324252627283031[[#This Row],[الدولار]]+(Table1345678101112131415161718192021222324252627283031[[#This Row],[اللبناني]]/90)</f>
        <v>0</v>
      </c>
      <c r="M183" s="6"/>
    </row>
    <row r="184" spans="8:13" s="8" customFormat="1" x14ac:dyDescent="0.3">
      <c r="H184" s="5" t="s">
        <v>144</v>
      </c>
      <c r="I184" s="21"/>
      <c r="J184" s="13"/>
      <c r="L184" s="26">
        <f>Table1345678101112131415161718192021222324252627283031[[#This Row],[الدولار]]+(Table1345678101112131415161718192021222324252627283031[[#This Row],[اللبناني]]/90)</f>
        <v>0</v>
      </c>
      <c r="M184" s="6"/>
    </row>
    <row r="185" spans="8:13" s="8" customFormat="1" x14ac:dyDescent="0.3">
      <c r="H185" s="5" t="s">
        <v>144</v>
      </c>
      <c r="I185" s="21"/>
      <c r="J185" s="13"/>
      <c r="L185" s="26">
        <f>Table1345678101112131415161718192021222324252627283031[[#This Row],[الدولار]]+(Table1345678101112131415161718192021222324252627283031[[#This Row],[اللبناني]]/90)</f>
        <v>0</v>
      </c>
      <c r="M185" s="6"/>
    </row>
    <row r="186" spans="8:13" s="8" customFormat="1" x14ac:dyDescent="0.3">
      <c r="H186" s="5" t="s">
        <v>144</v>
      </c>
      <c r="I186" s="21"/>
      <c r="J186" s="13"/>
      <c r="L186" s="26">
        <f>Table1345678101112131415161718192021222324252627283031[[#This Row],[الدولار]]+(Table1345678101112131415161718192021222324252627283031[[#This Row],[اللبناني]]/90)</f>
        <v>0</v>
      </c>
      <c r="M186" s="6"/>
    </row>
    <row r="187" spans="8:13" s="8" customFormat="1" x14ac:dyDescent="0.3">
      <c r="H187" s="5" t="s">
        <v>144</v>
      </c>
      <c r="I187" s="21"/>
      <c r="J187" s="13"/>
      <c r="L187" s="26">
        <f>Table1345678101112131415161718192021222324252627283031[[#This Row],[الدولار]]+(Table1345678101112131415161718192021222324252627283031[[#This Row],[اللبناني]]/90)</f>
        <v>0</v>
      </c>
      <c r="M187" s="6"/>
    </row>
    <row r="188" spans="8:13" s="8" customFormat="1" x14ac:dyDescent="0.3">
      <c r="H188" s="5" t="s">
        <v>144</v>
      </c>
      <c r="I188" s="21"/>
      <c r="J188" s="13"/>
      <c r="L188" s="26">
        <f>Table1345678101112131415161718192021222324252627283031[[#This Row],[الدولار]]+(Table1345678101112131415161718192021222324252627283031[[#This Row],[اللبناني]]/90)</f>
        <v>0</v>
      </c>
      <c r="M188" s="6"/>
    </row>
    <row r="189" spans="8:13" s="8" customFormat="1" x14ac:dyDescent="0.3">
      <c r="H189" s="5" t="s">
        <v>144</v>
      </c>
      <c r="I189" s="21"/>
      <c r="J189" s="13"/>
      <c r="L189" s="26">
        <f>Table1345678101112131415161718192021222324252627283031[[#This Row],[الدولار]]+(Table1345678101112131415161718192021222324252627283031[[#This Row],[اللبناني]]/90)</f>
        <v>0</v>
      </c>
      <c r="M189" s="6"/>
    </row>
    <row r="190" spans="8:13" s="8" customFormat="1" x14ac:dyDescent="0.3">
      <c r="H190" s="5" t="s">
        <v>144</v>
      </c>
      <c r="I190" s="21"/>
      <c r="J190" s="13"/>
      <c r="L190" s="26">
        <f>Table1345678101112131415161718192021222324252627283031[[#This Row],[الدولار]]+(Table1345678101112131415161718192021222324252627283031[[#This Row],[اللبناني]]/90)</f>
        <v>0</v>
      </c>
      <c r="M190" s="6"/>
    </row>
    <row r="191" spans="8:13" s="8" customFormat="1" x14ac:dyDescent="0.3">
      <c r="H191" s="5" t="s">
        <v>144</v>
      </c>
      <c r="I191" s="21"/>
      <c r="J191" s="13"/>
      <c r="L191" s="26">
        <f>Table1345678101112131415161718192021222324252627283031[[#This Row],[الدولار]]+(Table1345678101112131415161718192021222324252627283031[[#This Row],[اللبناني]]/90)</f>
        <v>0</v>
      </c>
      <c r="M191" s="6"/>
    </row>
    <row r="192" spans="8:13" s="8" customFormat="1" x14ac:dyDescent="0.3">
      <c r="H192" s="5" t="s">
        <v>144</v>
      </c>
      <c r="I192" s="21"/>
      <c r="J192" s="13"/>
      <c r="L192" s="26">
        <f>Table1345678101112131415161718192021222324252627283031[[#This Row],[الدولار]]+(Table1345678101112131415161718192021222324252627283031[[#This Row],[اللبناني]]/90)</f>
        <v>0</v>
      </c>
      <c r="M192" s="6"/>
    </row>
    <row r="193" spans="8:13" s="8" customFormat="1" x14ac:dyDescent="0.3">
      <c r="H193" s="5" t="s">
        <v>144</v>
      </c>
      <c r="I193" s="21"/>
      <c r="J193" s="13"/>
      <c r="L193" s="26">
        <f>Table1345678101112131415161718192021222324252627283031[[#This Row],[الدولار]]+(Table1345678101112131415161718192021222324252627283031[[#This Row],[اللبناني]]/90)</f>
        <v>0</v>
      </c>
      <c r="M193" s="6"/>
    </row>
    <row r="194" spans="8:13" s="8" customFormat="1" x14ac:dyDescent="0.3">
      <c r="H194" s="5" t="s">
        <v>144</v>
      </c>
      <c r="I194" s="21"/>
      <c r="J194" s="13"/>
      <c r="L194" s="26">
        <f>Table1345678101112131415161718192021222324252627283031[[#This Row],[الدولار]]+(Table1345678101112131415161718192021222324252627283031[[#This Row],[اللبناني]]/90)</f>
        <v>0</v>
      </c>
      <c r="M194" s="6"/>
    </row>
    <row r="195" spans="8:13" s="8" customFormat="1" x14ac:dyDescent="0.3">
      <c r="H195" s="5" t="s">
        <v>144</v>
      </c>
      <c r="I195" s="21"/>
      <c r="J195" s="13"/>
      <c r="L195" s="26">
        <f>Table1345678101112131415161718192021222324252627283031[[#This Row],[الدولار]]+(Table1345678101112131415161718192021222324252627283031[[#This Row],[اللبناني]]/90)</f>
        <v>0</v>
      </c>
      <c r="M195" s="6"/>
    </row>
    <row r="196" spans="8:13" s="8" customFormat="1" x14ac:dyDescent="0.3">
      <c r="H196" s="5" t="s">
        <v>144</v>
      </c>
      <c r="I196" s="21"/>
      <c r="J196" s="13"/>
      <c r="L196" s="26">
        <f>Table1345678101112131415161718192021222324252627283031[[#This Row],[الدولار]]+(Table1345678101112131415161718192021222324252627283031[[#This Row],[اللبناني]]/90)</f>
        <v>0</v>
      </c>
      <c r="M196" s="6"/>
    </row>
    <row r="197" spans="8:13" s="8" customFormat="1" x14ac:dyDescent="0.3">
      <c r="H197" s="5" t="s">
        <v>144</v>
      </c>
      <c r="I197" s="21"/>
      <c r="J197" s="13"/>
      <c r="L197" s="26">
        <f>Table1345678101112131415161718192021222324252627283031[[#This Row],[الدولار]]+(Table1345678101112131415161718192021222324252627283031[[#This Row],[اللبناني]]/90)</f>
        <v>0</v>
      </c>
      <c r="M197" s="6"/>
    </row>
    <row r="198" spans="8:13" s="8" customFormat="1" x14ac:dyDescent="0.3">
      <c r="H198" s="5" t="s">
        <v>144</v>
      </c>
      <c r="I198" s="21"/>
      <c r="J198" s="13"/>
      <c r="L198" s="26">
        <f>Table1345678101112131415161718192021222324252627283031[[#This Row],[الدولار]]+(Table1345678101112131415161718192021222324252627283031[[#This Row],[اللبناني]]/90)</f>
        <v>0</v>
      </c>
      <c r="M198" s="6"/>
    </row>
    <row r="199" spans="8:13" s="8" customFormat="1" x14ac:dyDescent="0.3">
      <c r="H199" s="5" t="s">
        <v>144</v>
      </c>
      <c r="I199" s="21"/>
      <c r="J199" s="13"/>
      <c r="L199" s="26">
        <f>Table1345678101112131415161718192021222324252627283031[[#This Row],[الدولار]]+(Table1345678101112131415161718192021222324252627283031[[#This Row],[اللبناني]]/90)</f>
        <v>0</v>
      </c>
      <c r="M199" s="6"/>
    </row>
    <row r="200" spans="8:13" s="8" customFormat="1" x14ac:dyDescent="0.3">
      <c r="H200" s="5" t="s">
        <v>144</v>
      </c>
      <c r="I200" s="21"/>
      <c r="J200" s="13"/>
      <c r="L200" s="26">
        <f>Table1345678101112131415161718192021222324252627283031[[#This Row],[الدولار]]+(Table1345678101112131415161718192021222324252627283031[[#This Row],[اللبناني]]/90)</f>
        <v>0</v>
      </c>
      <c r="M200" s="6"/>
    </row>
    <row r="201" spans="8:13" s="8" customFormat="1" x14ac:dyDescent="0.3">
      <c r="H201" s="5" t="s">
        <v>144</v>
      </c>
      <c r="I201" s="21"/>
      <c r="J201" s="13"/>
      <c r="L201" s="26">
        <f>Table1345678101112131415161718192021222324252627283031[[#This Row],[الدولار]]+(Table1345678101112131415161718192021222324252627283031[[#This Row],[اللبناني]]/90)</f>
        <v>0</v>
      </c>
      <c r="M201" s="6"/>
    </row>
    <row r="202" spans="8:13" s="8" customFormat="1" x14ac:dyDescent="0.3">
      <c r="H202" s="5" t="s">
        <v>144</v>
      </c>
      <c r="I202" s="21"/>
      <c r="J202" s="13"/>
      <c r="L202" s="26">
        <f>Table1345678101112131415161718192021222324252627283031[[#This Row],[الدولار]]+(Table1345678101112131415161718192021222324252627283031[[#This Row],[اللبناني]]/90)</f>
        <v>0</v>
      </c>
      <c r="M202" s="6"/>
    </row>
    <row r="203" spans="8:13" s="8" customFormat="1" x14ac:dyDescent="0.3">
      <c r="H203" s="5" t="s">
        <v>144</v>
      </c>
      <c r="I203" s="21"/>
      <c r="J203" s="13"/>
      <c r="L203" s="26">
        <f>Table1345678101112131415161718192021222324252627283031[[#This Row],[الدولار]]+(Table1345678101112131415161718192021222324252627283031[[#This Row],[اللبناني]]/90)</f>
        <v>0</v>
      </c>
      <c r="M203" s="6"/>
    </row>
    <row r="204" spans="8:13" s="8" customFormat="1" x14ac:dyDescent="0.3">
      <c r="H204" s="5" t="s">
        <v>144</v>
      </c>
      <c r="I204" s="21"/>
      <c r="J204" s="13"/>
      <c r="L204" s="26">
        <f>Table1345678101112131415161718192021222324252627283031[[#This Row],[الدولار]]+(Table1345678101112131415161718192021222324252627283031[[#This Row],[اللبناني]]/90)</f>
        <v>0</v>
      </c>
      <c r="M204" s="6"/>
    </row>
    <row r="205" spans="8:13" s="8" customFormat="1" x14ac:dyDescent="0.3">
      <c r="H205" s="5" t="s">
        <v>144</v>
      </c>
      <c r="I205" s="21"/>
      <c r="J205" s="13"/>
      <c r="L205" s="26">
        <f>Table1345678101112131415161718192021222324252627283031[[#This Row],[الدولار]]+(Table1345678101112131415161718192021222324252627283031[[#This Row],[اللبناني]]/90)</f>
        <v>0</v>
      </c>
      <c r="M205" s="6"/>
    </row>
    <row r="206" spans="8:13" s="8" customFormat="1" x14ac:dyDescent="0.3">
      <c r="H206" s="5" t="s">
        <v>144</v>
      </c>
      <c r="I206" s="21"/>
      <c r="J206" s="13"/>
      <c r="L206" s="26">
        <f>Table1345678101112131415161718192021222324252627283031[[#This Row],[الدولار]]+(Table1345678101112131415161718192021222324252627283031[[#This Row],[اللبناني]]/90)</f>
        <v>0</v>
      </c>
      <c r="M206" s="6"/>
    </row>
    <row r="207" spans="8:13" s="8" customFormat="1" x14ac:dyDescent="0.3">
      <c r="H207" s="5" t="s">
        <v>144</v>
      </c>
      <c r="I207" s="21"/>
      <c r="J207" s="13"/>
      <c r="L207" s="26">
        <f>Table1345678101112131415161718192021222324252627283031[[#This Row],[الدولار]]+(Table1345678101112131415161718192021222324252627283031[[#This Row],[اللبناني]]/90)</f>
        <v>0</v>
      </c>
      <c r="M207" s="6"/>
    </row>
    <row r="208" spans="8:13" s="8" customFormat="1" x14ac:dyDescent="0.3">
      <c r="H208" s="5" t="s">
        <v>144</v>
      </c>
      <c r="I208" s="21"/>
      <c r="J208" s="13"/>
      <c r="L208" s="26">
        <f>Table1345678101112131415161718192021222324252627283031[[#This Row],[الدولار]]+(Table1345678101112131415161718192021222324252627283031[[#This Row],[اللبناني]]/90)</f>
        <v>0</v>
      </c>
      <c r="M208" s="6"/>
    </row>
    <row r="209" spans="8:13" s="8" customFormat="1" x14ac:dyDescent="0.3">
      <c r="H209" s="5" t="s">
        <v>144</v>
      </c>
      <c r="I209" s="21"/>
      <c r="J209" s="13"/>
      <c r="L209" s="26">
        <f>Table1345678101112131415161718192021222324252627283031[[#This Row],[الدولار]]+(Table1345678101112131415161718192021222324252627283031[[#This Row],[اللبناني]]/90)</f>
        <v>0</v>
      </c>
      <c r="M209" s="6"/>
    </row>
    <row r="210" spans="8:13" s="8" customFormat="1" x14ac:dyDescent="0.3">
      <c r="H210" s="5" t="s">
        <v>144</v>
      </c>
      <c r="I210" s="21"/>
      <c r="J210" s="13"/>
      <c r="L210" s="26">
        <f>Table1345678101112131415161718192021222324252627283031[[#This Row],[الدولار]]+(Table1345678101112131415161718192021222324252627283031[[#This Row],[اللبناني]]/90)</f>
        <v>0</v>
      </c>
      <c r="M210" s="6"/>
    </row>
    <row r="211" spans="8:13" s="8" customFormat="1" x14ac:dyDescent="0.3">
      <c r="H211" s="5" t="s">
        <v>144</v>
      </c>
      <c r="I211" s="21"/>
      <c r="J211" s="13"/>
      <c r="L211" s="26">
        <f>Table1345678101112131415161718192021222324252627283031[[#This Row],[الدولار]]+(Table1345678101112131415161718192021222324252627283031[[#This Row],[اللبناني]]/90)</f>
        <v>0</v>
      </c>
      <c r="M211" s="6"/>
    </row>
    <row r="212" spans="8:13" s="8" customFormat="1" x14ac:dyDescent="0.3">
      <c r="H212" s="5" t="s">
        <v>144</v>
      </c>
      <c r="I212" s="21"/>
      <c r="J212" s="13"/>
      <c r="L212" s="26">
        <f>Table1345678101112131415161718192021222324252627283031[[#This Row],[الدولار]]+(Table1345678101112131415161718192021222324252627283031[[#This Row],[اللبناني]]/90)</f>
        <v>0</v>
      </c>
      <c r="M212" s="6"/>
    </row>
    <row r="213" spans="8:13" s="8" customFormat="1" x14ac:dyDescent="0.3">
      <c r="H213" s="5" t="s">
        <v>144</v>
      </c>
      <c r="I213" s="21"/>
      <c r="J213" s="13"/>
      <c r="L213" s="26">
        <f>Table1345678101112131415161718192021222324252627283031[[#This Row],[الدولار]]+(Table1345678101112131415161718192021222324252627283031[[#This Row],[اللبناني]]/90)</f>
        <v>0</v>
      </c>
      <c r="M213" s="6"/>
    </row>
    <row r="214" spans="8:13" s="8" customFormat="1" x14ac:dyDescent="0.3">
      <c r="H214" s="5" t="s">
        <v>144</v>
      </c>
      <c r="I214" s="21"/>
      <c r="J214" s="13"/>
      <c r="L214" s="26">
        <f>Table1345678101112131415161718192021222324252627283031[[#This Row],[الدولار]]+(Table1345678101112131415161718192021222324252627283031[[#This Row],[اللبناني]]/90)</f>
        <v>0</v>
      </c>
      <c r="M214" s="6"/>
    </row>
    <row r="215" spans="8:13" s="8" customFormat="1" x14ac:dyDescent="0.3">
      <c r="H215" s="5" t="s">
        <v>144</v>
      </c>
      <c r="I215" s="21"/>
      <c r="J215" s="13"/>
      <c r="L215" s="26">
        <f>Table1345678101112131415161718192021222324252627283031[[#This Row],[الدولار]]+(Table1345678101112131415161718192021222324252627283031[[#This Row],[اللبناني]]/90)</f>
        <v>0</v>
      </c>
      <c r="M215" s="6"/>
    </row>
    <row r="216" spans="8:13" s="8" customFormat="1" x14ac:dyDescent="0.3">
      <c r="H216" s="5" t="s">
        <v>144</v>
      </c>
      <c r="I216" s="21"/>
      <c r="J216" s="13"/>
      <c r="L216" s="26">
        <f>Table1345678101112131415161718192021222324252627283031[[#This Row],[الدولار]]+(Table1345678101112131415161718192021222324252627283031[[#This Row],[اللبناني]]/90)</f>
        <v>0</v>
      </c>
      <c r="M216" s="6"/>
    </row>
    <row r="217" spans="8:13" s="8" customFormat="1" x14ac:dyDescent="0.3">
      <c r="H217" s="5" t="s">
        <v>144</v>
      </c>
      <c r="I217" s="21"/>
      <c r="J217" s="13"/>
      <c r="L217" s="26">
        <f>Table1345678101112131415161718192021222324252627283031[[#This Row],[الدولار]]+(Table1345678101112131415161718192021222324252627283031[[#This Row],[اللبناني]]/90)</f>
        <v>0</v>
      </c>
      <c r="M217" s="6"/>
    </row>
    <row r="218" spans="8:13" s="8" customFormat="1" x14ac:dyDescent="0.3">
      <c r="H218" s="5" t="s">
        <v>144</v>
      </c>
      <c r="I218" s="21"/>
      <c r="J218" s="13"/>
      <c r="L218" s="26">
        <f>Table1345678101112131415161718192021222324252627283031[[#This Row],[الدولار]]+(Table1345678101112131415161718192021222324252627283031[[#This Row],[اللبناني]]/90)</f>
        <v>0</v>
      </c>
      <c r="M218" s="6"/>
    </row>
    <row r="219" spans="8:13" s="8" customFormat="1" x14ac:dyDescent="0.3">
      <c r="H219" s="5" t="s">
        <v>144</v>
      </c>
      <c r="I219" s="21"/>
      <c r="J219" s="13"/>
      <c r="L219" s="26">
        <f>Table1345678101112131415161718192021222324252627283031[[#This Row],[الدولار]]+(Table1345678101112131415161718192021222324252627283031[[#This Row],[اللبناني]]/90)</f>
        <v>0</v>
      </c>
      <c r="M219" s="6"/>
    </row>
    <row r="220" spans="8:13" s="8" customFormat="1" x14ac:dyDescent="0.3">
      <c r="H220" s="5" t="s">
        <v>144</v>
      </c>
      <c r="I220" s="21"/>
      <c r="J220" s="13"/>
      <c r="L220" s="26">
        <f>Table1345678101112131415161718192021222324252627283031[[#This Row],[الدولار]]+(Table1345678101112131415161718192021222324252627283031[[#This Row],[اللبناني]]/90)</f>
        <v>0</v>
      </c>
      <c r="M220" s="6"/>
    </row>
    <row r="221" spans="8:13" s="8" customFormat="1" x14ac:dyDescent="0.3">
      <c r="H221" s="5" t="s">
        <v>144</v>
      </c>
      <c r="I221" s="21"/>
      <c r="J221" s="13"/>
      <c r="L221" s="26">
        <f>Table1345678101112131415161718192021222324252627283031[[#This Row],[الدولار]]+(Table1345678101112131415161718192021222324252627283031[[#This Row],[اللبناني]]/90)</f>
        <v>0</v>
      </c>
      <c r="M221" s="6"/>
    </row>
    <row r="222" spans="8:13" s="8" customFormat="1" x14ac:dyDescent="0.3">
      <c r="H222" s="5" t="s">
        <v>144</v>
      </c>
      <c r="I222" s="21"/>
      <c r="J222" s="13"/>
      <c r="L222" s="26">
        <f>Table1345678101112131415161718192021222324252627283031[[#This Row],[الدولار]]+(Table1345678101112131415161718192021222324252627283031[[#This Row],[اللبناني]]/90)</f>
        <v>0</v>
      </c>
      <c r="M222" s="6"/>
    </row>
    <row r="223" spans="8:13" s="8" customFormat="1" x14ac:dyDescent="0.3">
      <c r="H223" s="5" t="s">
        <v>144</v>
      </c>
      <c r="I223" s="21"/>
      <c r="J223" s="13"/>
      <c r="L223" s="26">
        <f>Table1345678101112131415161718192021222324252627283031[[#This Row],[الدولار]]+(Table1345678101112131415161718192021222324252627283031[[#This Row],[اللبناني]]/90)</f>
        <v>0</v>
      </c>
      <c r="M223" s="6"/>
    </row>
    <row r="224" spans="8:13" s="8" customFormat="1" x14ac:dyDescent="0.3">
      <c r="H224" s="5" t="s">
        <v>144</v>
      </c>
      <c r="I224" s="21"/>
      <c r="J224" s="13"/>
      <c r="L224" s="26">
        <f>Table1345678101112131415161718192021222324252627283031[[#This Row],[الدولار]]+(Table1345678101112131415161718192021222324252627283031[[#This Row],[اللبناني]]/90)</f>
        <v>0</v>
      </c>
      <c r="M224" s="6"/>
    </row>
    <row r="225" spans="8:13" s="8" customFormat="1" x14ac:dyDescent="0.3">
      <c r="H225" s="5" t="s">
        <v>144</v>
      </c>
      <c r="I225" s="21"/>
      <c r="J225" s="13"/>
      <c r="L225" s="26">
        <f>Table1345678101112131415161718192021222324252627283031[[#This Row],[الدولار]]+(Table1345678101112131415161718192021222324252627283031[[#This Row],[اللبناني]]/90)</f>
        <v>0</v>
      </c>
      <c r="M225" s="6"/>
    </row>
    <row r="226" spans="8:13" s="8" customFormat="1" x14ac:dyDescent="0.3">
      <c r="H226" s="5" t="s">
        <v>144</v>
      </c>
      <c r="I226" s="21"/>
      <c r="J226" s="13"/>
      <c r="L226" s="26">
        <f>Table1345678101112131415161718192021222324252627283031[[#This Row],[الدولار]]+(Table1345678101112131415161718192021222324252627283031[[#This Row],[اللبناني]]/90)</f>
        <v>0</v>
      </c>
      <c r="M226" s="6"/>
    </row>
    <row r="227" spans="8:13" s="8" customFormat="1" x14ac:dyDescent="0.3">
      <c r="H227" s="5" t="s">
        <v>144</v>
      </c>
      <c r="I227" s="21"/>
      <c r="J227" s="13"/>
      <c r="L227" s="26">
        <f>Table1345678101112131415161718192021222324252627283031[[#This Row],[الدولار]]+(Table1345678101112131415161718192021222324252627283031[[#This Row],[اللبناني]]/90)</f>
        <v>0</v>
      </c>
      <c r="M227" s="6"/>
    </row>
    <row r="228" spans="8:13" s="8" customFormat="1" x14ac:dyDescent="0.3">
      <c r="H228" s="5" t="s">
        <v>144</v>
      </c>
      <c r="I228" s="21"/>
      <c r="J228" s="13"/>
      <c r="L228" s="26">
        <f>Table1345678101112131415161718192021222324252627283031[[#This Row],[الدولار]]+(Table1345678101112131415161718192021222324252627283031[[#This Row],[اللبناني]]/90)</f>
        <v>0</v>
      </c>
      <c r="M228" s="6"/>
    </row>
    <row r="229" spans="8:13" s="8" customFormat="1" x14ac:dyDescent="0.3">
      <c r="H229" s="5" t="s">
        <v>144</v>
      </c>
      <c r="I229" s="21"/>
      <c r="J229" s="13"/>
      <c r="L229" s="26">
        <f>Table1345678101112131415161718192021222324252627283031[[#This Row],[الدولار]]+(Table1345678101112131415161718192021222324252627283031[[#This Row],[اللبناني]]/90)</f>
        <v>0</v>
      </c>
      <c r="M229" s="6"/>
    </row>
    <row r="230" spans="8:13" s="8" customFormat="1" x14ac:dyDescent="0.3">
      <c r="H230" s="5" t="s">
        <v>144</v>
      </c>
      <c r="I230" s="21"/>
      <c r="J230" s="13"/>
      <c r="L230" s="26">
        <f>Table1345678101112131415161718192021222324252627283031[[#This Row],[الدولار]]+(Table1345678101112131415161718192021222324252627283031[[#This Row],[اللبناني]]/90)</f>
        <v>0</v>
      </c>
      <c r="M230" s="6"/>
    </row>
    <row r="231" spans="8:13" s="8" customFormat="1" x14ac:dyDescent="0.3">
      <c r="H231" s="5" t="s">
        <v>144</v>
      </c>
      <c r="I231" s="21"/>
      <c r="J231" s="13"/>
      <c r="L231" s="26">
        <f>Table1345678101112131415161718192021222324252627283031[[#This Row],[الدولار]]+(Table1345678101112131415161718192021222324252627283031[[#This Row],[اللبناني]]/90)</f>
        <v>0</v>
      </c>
      <c r="M231" s="6"/>
    </row>
    <row r="232" spans="8:13" s="8" customFormat="1" x14ac:dyDescent="0.3">
      <c r="H232" s="5" t="s">
        <v>144</v>
      </c>
      <c r="I232" s="21"/>
      <c r="J232" s="13"/>
      <c r="L232" s="26">
        <f>Table1345678101112131415161718192021222324252627283031[[#This Row],[الدولار]]+(Table1345678101112131415161718192021222324252627283031[[#This Row],[اللبناني]]/90)</f>
        <v>0</v>
      </c>
      <c r="M232" s="6"/>
    </row>
    <row r="233" spans="8:13" s="8" customFormat="1" x14ac:dyDescent="0.3">
      <c r="H233" s="5" t="s">
        <v>144</v>
      </c>
      <c r="I233" s="21"/>
      <c r="J233" s="13"/>
      <c r="L233" s="26">
        <f>Table1345678101112131415161718192021222324252627283031[[#This Row],[الدولار]]+(Table1345678101112131415161718192021222324252627283031[[#This Row],[اللبناني]]/90)</f>
        <v>0</v>
      </c>
      <c r="M233" s="6"/>
    </row>
    <row r="234" spans="8:13" s="8" customFormat="1" x14ac:dyDescent="0.3">
      <c r="H234" s="5" t="s">
        <v>144</v>
      </c>
      <c r="I234" s="21"/>
      <c r="J234" s="13"/>
      <c r="L234" s="26">
        <f>Table1345678101112131415161718192021222324252627283031[[#This Row],[الدولار]]+(Table1345678101112131415161718192021222324252627283031[[#This Row],[اللبناني]]/90)</f>
        <v>0</v>
      </c>
      <c r="M234" s="6"/>
    </row>
    <row r="235" spans="8:13" s="8" customFormat="1" x14ac:dyDescent="0.3">
      <c r="H235" s="5" t="s">
        <v>144</v>
      </c>
      <c r="I235" s="21"/>
      <c r="J235" s="13"/>
      <c r="L235" s="26">
        <f>Table1345678101112131415161718192021222324252627283031[[#This Row],[الدولار]]+(Table1345678101112131415161718192021222324252627283031[[#This Row],[اللبناني]]/90)</f>
        <v>0</v>
      </c>
      <c r="M235" s="6"/>
    </row>
    <row r="236" spans="8:13" s="8" customFormat="1" x14ac:dyDescent="0.3">
      <c r="H236" s="5" t="s">
        <v>144</v>
      </c>
      <c r="I236" s="21"/>
      <c r="J236" s="13"/>
      <c r="L236" s="26">
        <f>Table1345678101112131415161718192021222324252627283031[[#This Row],[الدولار]]+(Table1345678101112131415161718192021222324252627283031[[#This Row],[اللبناني]]/90)</f>
        <v>0</v>
      </c>
      <c r="M236" s="6"/>
    </row>
    <row r="237" spans="8:13" s="8" customFormat="1" x14ac:dyDescent="0.3">
      <c r="H237" s="5" t="s">
        <v>144</v>
      </c>
      <c r="I237" s="21"/>
      <c r="J237" s="13"/>
      <c r="L237" s="26">
        <f>Table1345678101112131415161718192021222324252627283031[[#This Row],[الدولار]]+(Table1345678101112131415161718192021222324252627283031[[#This Row],[اللبناني]]/90)</f>
        <v>0</v>
      </c>
      <c r="M237" s="6"/>
    </row>
    <row r="238" spans="8:13" s="8" customFormat="1" x14ac:dyDescent="0.3">
      <c r="H238" s="5" t="s">
        <v>144</v>
      </c>
      <c r="I238" s="21"/>
      <c r="J238" s="13"/>
      <c r="L238" s="26">
        <f>Table1345678101112131415161718192021222324252627283031[[#This Row],[الدولار]]+(Table1345678101112131415161718192021222324252627283031[[#This Row],[اللبناني]]/90)</f>
        <v>0</v>
      </c>
      <c r="M238" s="6"/>
    </row>
    <row r="239" spans="8:13" s="8" customFormat="1" x14ac:dyDescent="0.3">
      <c r="H239" s="5" t="s">
        <v>144</v>
      </c>
      <c r="I239" s="21"/>
      <c r="J239" s="13"/>
      <c r="L239" s="26">
        <f>Table1345678101112131415161718192021222324252627283031[[#This Row],[الدولار]]+(Table1345678101112131415161718192021222324252627283031[[#This Row],[اللبناني]]/90)</f>
        <v>0</v>
      </c>
      <c r="M239" s="6"/>
    </row>
    <row r="240" spans="8:13" s="8" customFormat="1" x14ac:dyDescent="0.3">
      <c r="H240" s="5" t="s">
        <v>144</v>
      </c>
      <c r="I240" s="21"/>
      <c r="J240" s="13"/>
      <c r="L240" s="26">
        <f>Table1345678101112131415161718192021222324252627283031[[#This Row],[الدولار]]+(Table1345678101112131415161718192021222324252627283031[[#This Row],[اللبناني]]/90)</f>
        <v>0</v>
      </c>
      <c r="M240" s="6"/>
    </row>
    <row r="241" spans="8:13" s="8" customFormat="1" x14ac:dyDescent="0.3">
      <c r="H241" s="5" t="s">
        <v>144</v>
      </c>
      <c r="I241" s="21"/>
      <c r="J241" s="13"/>
      <c r="L241" s="26">
        <f>Table1345678101112131415161718192021222324252627283031[[#This Row],[الدولار]]+(Table1345678101112131415161718192021222324252627283031[[#This Row],[اللبناني]]/90)</f>
        <v>0</v>
      </c>
      <c r="M241" s="6"/>
    </row>
    <row r="242" spans="8:13" s="8" customFormat="1" x14ac:dyDescent="0.3">
      <c r="H242" s="5" t="s">
        <v>144</v>
      </c>
      <c r="I242" s="21"/>
      <c r="J242" s="13"/>
      <c r="L242" s="26">
        <f>Table1345678101112131415161718192021222324252627283031[[#This Row],[الدولار]]+(Table1345678101112131415161718192021222324252627283031[[#This Row],[اللبناني]]/90)</f>
        <v>0</v>
      </c>
      <c r="M242" s="6"/>
    </row>
    <row r="243" spans="8:13" s="8" customFormat="1" x14ac:dyDescent="0.3">
      <c r="H243" s="5" t="s">
        <v>144</v>
      </c>
      <c r="I243" s="21"/>
      <c r="J243" s="13"/>
      <c r="L243" s="26">
        <f>Table1345678101112131415161718192021222324252627283031[[#This Row],[الدولار]]+(Table1345678101112131415161718192021222324252627283031[[#This Row],[اللبناني]]/90)</f>
        <v>0</v>
      </c>
      <c r="M243" s="6"/>
    </row>
    <row r="244" spans="8:13" s="8" customFormat="1" x14ac:dyDescent="0.3">
      <c r="H244" s="5" t="s">
        <v>144</v>
      </c>
      <c r="I244" s="21"/>
      <c r="J244" s="13"/>
      <c r="L244" s="26">
        <f>Table1345678101112131415161718192021222324252627283031[[#This Row],[الدولار]]+(Table1345678101112131415161718192021222324252627283031[[#This Row],[اللبناني]]/90)</f>
        <v>0</v>
      </c>
      <c r="M244" s="6"/>
    </row>
    <row r="245" spans="8:13" s="8" customFormat="1" x14ac:dyDescent="0.3">
      <c r="H245" s="5" t="s">
        <v>144</v>
      </c>
      <c r="I245" s="21"/>
      <c r="J245" s="13"/>
      <c r="L245" s="26">
        <f>Table1345678101112131415161718192021222324252627283031[[#This Row],[الدولار]]+(Table1345678101112131415161718192021222324252627283031[[#This Row],[اللبناني]]/90)</f>
        <v>0</v>
      </c>
      <c r="M245" s="6"/>
    </row>
    <row r="246" spans="8:13" s="8" customFormat="1" x14ac:dyDescent="0.3">
      <c r="H246" s="5" t="s">
        <v>144</v>
      </c>
      <c r="I246" s="21"/>
      <c r="J246" s="13"/>
      <c r="L246" s="26">
        <f>Table1345678101112131415161718192021222324252627283031[[#This Row],[الدولار]]+(Table1345678101112131415161718192021222324252627283031[[#This Row],[اللبناني]]/90)</f>
        <v>0</v>
      </c>
      <c r="M246" s="6"/>
    </row>
    <row r="247" spans="8:13" s="8" customFormat="1" x14ac:dyDescent="0.3">
      <c r="H247" s="5" t="s">
        <v>144</v>
      </c>
      <c r="I247" s="21"/>
      <c r="J247" s="13"/>
      <c r="L247" s="26">
        <f>Table1345678101112131415161718192021222324252627283031[[#This Row],[الدولار]]+(Table1345678101112131415161718192021222324252627283031[[#This Row],[اللبناني]]/90)</f>
        <v>0</v>
      </c>
      <c r="M247" s="6"/>
    </row>
    <row r="248" spans="8:13" s="8" customFormat="1" x14ac:dyDescent="0.3">
      <c r="H248" s="5" t="s">
        <v>144</v>
      </c>
      <c r="I248" s="21"/>
      <c r="J248" s="13"/>
      <c r="L248" s="26">
        <f>Table1345678101112131415161718192021222324252627283031[[#This Row],[الدولار]]+(Table1345678101112131415161718192021222324252627283031[[#This Row],[اللبناني]]/90)</f>
        <v>0</v>
      </c>
      <c r="M248" s="6"/>
    </row>
    <row r="249" spans="8:13" s="8" customFormat="1" x14ac:dyDescent="0.3">
      <c r="H249" s="5" t="s">
        <v>144</v>
      </c>
      <c r="I249" s="21"/>
      <c r="J249" s="13"/>
      <c r="L249" s="26">
        <f>Table1345678101112131415161718192021222324252627283031[[#This Row],[الدولار]]+(Table1345678101112131415161718192021222324252627283031[[#This Row],[اللبناني]]/90)</f>
        <v>0</v>
      </c>
      <c r="M249" s="6"/>
    </row>
    <row r="250" spans="8:13" s="8" customFormat="1" x14ac:dyDescent="0.3">
      <c r="H250" s="5" t="s">
        <v>144</v>
      </c>
      <c r="I250" s="21"/>
      <c r="J250" s="13"/>
      <c r="L250" s="26">
        <f>Table1345678101112131415161718192021222324252627283031[[#This Row],[الدولار]]+(Table1345678101112131415161718192021222324252627283031[[#This Row],[اللبناني]]/90)</f>
        <v>0</v>
      </c>
      <c r="M250" s="6"/>
    </row>
    <row r="251" spans="8:13" s="8" customFormat="1" x14ac:dyDescent="0.3">
      <c r="H251" s="5" t="s">
        <v>144</v>
      </c>
      <c r="I251" s="21"/>
      <c r="J251" s="13"/>
      <c r="L251" s="26">
        <f>Table1345678101112131415161718192021222324252627283031[[#This Row],[الدولار]]+(Table1345678101112131415161718192021222324252627283031[[#This Row],[اللبناني]]/90)</f>
        <v>0</v>
      </c>
      <c r="M251" s="6"/>
    </row>
    <row r="252" spans="8:13" s="8" customFormat="1" x14ac:dyDescent="0.3">
      <c r="H252" s="5" t="s">
        <v>144</v>
      </c>
      <c r="I252" s="21"/>
      <c r="J252" s="13"/>
      <c r="L252" s="26">
        <f>Table1345678101112131415161718192021222324252627283031[[#This Row],[الدولار]]+(Table1345678101112131415161718192021222324252627283031[[#This Row],[اللبناني]]/90)</f>
        <v>0</v>
      </c>
      <c r="M252" s="6"/>
    </row>
    <row r="253" spans="8:13" s="8" customFormat="1" x14ac:dyDescent="0.3">
      <c r="H253" s="5" t="s">
        <v>144</v>
      </c>
      <c r="I253" s="21"/>
      <c r="J253" s="13"/>
      <c r="L253" s="26">
        <f>Table1345678101112131415161718192021222324252627283031[[#This Row],[الدولار]]+(Table1345678101112131415161718192021222324252627283031[[#This Row],[اللبناني]]/90)</f>
        <v>0</v>
      </c>
      <c r="M253" s="6"/>
    </row>
    <row r="254" spans="8:13" s="8" customFormat="1" x14ac:dyDescent="0.3">
      <c r="H254" s="5" t="s">
        <v>144</v>
      </c>
      <c r="I254" s="21"/>
      <c r="J254" s="13"/>
      <c r="L254" s="26">
        <f>Table1345678101112131415161718192021222324252627283031[[#This Row],[الدولار]]+(Table1345678101112131415161718192021222324252627283031[[#This Row],[اللبناني]]/90)</f>
        <v>0</v>
      </c>
      <c r="M254" s="6"/>
    </row>
    <row r="255" spans="8:13" s="8" customFormat="1" x14ac:dyDescent="0.3">
      <c r="H255" s="5" t="s">
        <v>144</v>
      </c>
      <c r="I255" s="21"/>
      <c r="J255" s="13"/>
      <c r="L255" s="26">
        <f>Table1345678101112131415161718192021222324252627283031[[#This Row],[الدولار]]+(Table1345678101112131415161718192021222324252627283031[[#This Row],[اللبناني]]/90)</f>
        <v>0</v>
      </c>
      <c r="M255" s="6"/>
    </row>
    <row r="256" spans="8:13" s="8" customFormat="1" x14ac:dyDescent="0.3">
      <c r="H256" s="5" t="s">
        <v>144</v>
      </c>
      <c r="I256" s="21"/>
      <c r="J256" s="13"/>
      <c r="L256" s="26">
        <f>Table1345678101112131415161718192021222324252627283031[[#This Row],[الدولار]]+(Table1345678101112131415161718192021222324252627283031[[#This Row],[اللبناني]]/90)</f>
        <v>0</v>
      </c>
      <c r="M256" s="6"/>
    </row>
    <row r="257" spans="8:13" s="8" customFormat="1" x14ac:dyDescent="0.3">
      <c r="H257" s="5" t="s">
        <v>144</v>
      </c>
      <c r="I257" s="21"/>
      <c r="J257" s="13"/>
      <c r="L257" s="26">
        <f>Table1345678101112131415161718192021222324252627283031[[#This Row],[الدولار]]+(Table1345678101112131415161718192021222324252627283031[[#This Row],[اللبناني]]/90)</f>
        <v>0</v>
      </c>
      <c r="M257" s="6"/>
    </row>
    <row r="258" spans="8:13" s="8" customFormat="1" x14ac:dyDescent="0.3">
      <c r="H258" s="5" t="s">
        <v>144</v>
      </c>
      <c r="I258" s="21"/>
      <c r="J258" s="13"/>
      <c r="L258" s="26">
        <f>Table1345678101112131415161718192021222324252627283031[[#This Row],[الدولار]]+(Table1345678101112131415161718192021222324252627283031[[#This Row],[اللبناني]]/90)</f>
        <v>0</v>
      </c>
      <c r="M258" s="6"/>
    </row>
    <row r="259" spans="8:13" s="8" customFormat="1" x14ac:dyDescent="0.3">
      <c r="H259" s="5" t="s">
        <v>144</v>
      </c>
      <c r="I259" s="21"/>
      <c r="J259" s="13"/>
      <c r="L259" s="26">
        <f>Table1345678101112131415161718192021222324252627283031[[#This Row],[الدولار]]+(Table1345678101112131415161718192021222324252627283031[[#This Row],[اللبناني]]/90)</f>
        <v>0</v>
      </c>
      <c r="M259" s="6"/>
    </row>
    <row r="260" spans="8:13" s="8" customFormat="1" x14ac:dyDescent="0.3">
      <c r="H260" s="5" t="s">
        <v>144</v>
      </c>
      <c r="I260" s="21"/>
      <c r="J260" s="13"/>
      <c r="L260" s="26">
        <f>Table1345678101112131415161718192021222324252627283031[[#This Row],[الدولار]]+(Table1345678101112131415161718192021222324252627283031[[#This Row],[اللبناني]]/90)</f>
        <v>0</v>
      </c>
      <c r="M260" s="6"/>
    </row>
    <row r="261" spans="8:13" s="8" customFormat="1" x14ac:dyDescent="0.3">
      <c r="H261" s="5" t="s">
        <v>144</v>
      </c>
      <c r="I261" s="21"/>
      <c r="J261" s="13"/>
      <c r="L261" s="26">
        <f>Table1345678101112131415161718192021222324252627283031[[#This Row],[الدولار]]+(Table1345678101112131415161718192021222324252627283031[[#This Row],[اللبناني]]/90)</f>
        <v>0</v>
      </c>
      <c r="M261" s="6"/>
    </row>
    <row r="262" spans="8:13" s="8" customFormat="1" x14ac:dyDescent="0.3">
      <c r="H262" s="5" t="s">
        <v>144</v>
      </c>
      <c r="I262" s="21"/>
      <c r="J262" s="13"/>
      <c r="L262" s="26">
        <f>Table1345678101112131415161718192021222324252627283031[[#This Row],[الدولار]]+(Table1345678101112131415161718192021222324252627283031[[#This Row],[اللبناني]]/90)</f>
        <v>0</v>
      </c>
      <c r="M262" s="6"/>
    </row>
    <row r="263" spans="8:13" s="8" customFormat="1" x14ac:dyDescent="0.3">
      <c r="H263" s="5" t="s">
        <v>144</v>
      </c>
      <c r="I263" s="21"/>
      <c r="J263" s="13"/>
      <c r="L263" s="26">
        <f>Table1345678101112131415161718192021222324252627283031[[#This Row],[الدولار]]+(Table1345678101112131415161718192021222324252627283031[[#This Row],[اللبناني]]/90)</f>
        <v>0</v>
      </c>
      <c r="M263" s="6"/>
    </row>
    <row r="264" spans="8:13" s="8" customFormat="1" x14ac:dyDescent="0.3">
      <c r="H264" s="5" t="s">
        <v>144</v>
      </c>
      <c r="I264" s="21"/>
      <c r="J264" s="13"/>
      <c r="L264" s="26">
        <f>Table1345678101112131415161718192021222324252627283031[[#This Row],[الدولار]]+(Table1345678101112131415161718192021222324252627283031[[#This Row],[اللبناني]]/90)</f>
        <v>0</v>
      </c>
      <c r="M264" s="6"/>
    </row>
    <row r="265" spans="8:13" s="8" customFormat="1" x14ac:dyDescent="0.3">
      <c r="H265" s="5" t="s">
        <v>144</v>
      </c>
      <c r="I265" s="21"/>
      <c r="J265" s="13"/>
      <c r="L265" s="26">
        <f>Table1345678101112131415161718192021222324252627283031[[#This Row],[الدولار]]+(Table1345678101112131415161718192021222324252627283031[[#This Row],[اللبناني]]/90)</f>
        <v>0</v>
      </c>
      <c r="M265" s="6"/>
    </row>
    <row r="266" spans="8:13" s="8" customFormat="1" x14ac:dyDescent="0.3">
      <c r="H266" s="5" t="s">
        <v>144</v>
      </c>
      <c r="I266" s="21"/>
      <c r="J266" s="13"/>
      <c r="L266" s="26">
        <f>Table1345678101112131415161718192021222324252627283031[[#This Row],[الدولار]]+(Table1345678101112131415161718192021222324252627283031[[#This Row],[اللبناني]]/90)</f>
        <v>0</v>
      </c>
      <c r="M266" s="6"/>
    </row>
    <row r="267" spans="8:13" s="8" customFormat="1" x14ac:dyDescent="0.3">
      <c r="H267" s="5" t="s">
        <v>144</v>
      </c>
      <c r="I267" s="21"/>
      <c r="J267" s="13"/>
      <c r="L267" s="26">
        <f>Table1345678101112131415161718192021222324252627283031[[#This Row],[الدولار]]+(Table1345678101112131415161718192021222324252627283031[[#This Row],[اللبناني]]/90)</f>
        <v>0</v>
      </c>
      <c r="M267" s="6"/>
    </row>
    <row r="268" spans="8:13" s="8" customFormat="1" x14ac:dyDescent="0.3">
      <c r="H268" s="5" t="s">
        <v>144</v>
      </c>
      <c r="I268" s="21"/>
      <c r="J268" s="13"/>
      <c r="L268" s="26">
        <f>Table1345678101112131415161718192021222324252627283031[[#This Row],[الدولار]]+(Table1345678101112131415161718192021222324252627283031[[#This Row],[اللبناني]]/90)</f>
        <v>0</v>
      </c>
      <c r="M268" s="6"/>
    </row>
    <row r="269" spans="8:13" s="8" customFormat="1" x14ac:dyDescent="0.3">
      <c r="H269" s="5" t="s">
        <v>144</v>
      </c>
      <c r="I269" s="21"/>
      <c r="J269" s="13"/>
      <c r="L269" s="26">
        <f>Table1345678101112131415161718192021222324252627283031[[#This Row],[الدولار]]+(Table1345678101112131415161718192021222324252627283031[[#This Row],[اللبناني]]/90)</f>
        <v>0</v>
      </c>
      <c r="M269" s="6"/>
    </row>
    <row r="270" spans="8:13" s="8" customFormat="1" x14ac:dyDescent="0.3">
      <c r="H270" s="5" t="s">
        <v>144</v>
      </c>
      <c r="I270" s="21"/>
      <c r="J270" s="13"/>
      <c r="L270" s="26">
        <f>Table1345678101112131415161718192021222324252627283031[[#This Row],[الدولار]]+(Table1345678101112131415161718192021222324252627283031[[#This Row],[اللبناني]]/90)</f>
        <v>0</v>
      </c>
      <c r="M270" s="6"/>
    </row>
    <row r="271" spans="8:13" s="8" customFormat="1" x14ac:dyDescent="0.3">
      <c r="H271" s="5" t="s">
        <v>144</v>
      </c>
      <c r="I271" s="21"/>
      <c r="J271" s="13"/>
      <c r="L271" s="26">
        <f>Table1345678101112131415161718192021222324252627283031[[#This Row],[الدولار]]+(Table1345678101112131415161718192021222324252627283031[[#This Row],[اللبناني]]/90)</f>
        <v>0</v>
      </c>
      <c r="M271" s="6"/>
    </row>
    <row r="272" spans="8:13" s="8" customFormat="1" x14ac:dyDescent="0.3">
      <c r="H272" s="5" t="s">
        <v>144</v>
      </c>
      <c r="I272" s="21"/>
      <c r="J272" s="13"/>
      <c r="L272" s="26">
        <f>Table1345678101112131415161718192021222324252627283031[[#This Row],[الدولار]]+(Table1345678101112131415161718192021222324252627283031[[#This Row],[اللبناني]]/90)</f>
        <v>0</v>
      </c>
      <c r="M272" s="6"/>
    </row>
    <row r="273" spans="8:13" s="8" customFormat="1" x14ac:dyDescent="0.3">
      <c r="H273" s="5" t="s">
        <v>144</v>
      </c>
      <c r="I273" s="21"/>
      <c r="J273" s="13"/>
      <c r="L273" s="26">
        <f>Table1345678101112131415161718192021222324252627283031[[#This Row],[الدولار]]+(Table1345678101112131415161718192021222324252627283031[[#This Row],[اللبناني]]/90)</f>
        <v>0</v>
      </c>
      <c r="M273" s="6"/>
    </row>
    <row r="274" spans="8:13" s="8" customFormat="1" x14ac:dyDescent="0.3">
      <c r="H274" s="5" t="s">
        <v>144</v>
      </c>
      <c r="I274" s="21"/>
      <c r="J274" s="13"/>
      <c r="L274" s="26">
        <f>Table1345678101112131415161718192021222324252627283031[[#This Row],[الدولار]]+(Table1345678101112131415161718192021222324252627283031[[#This Row],[اللبناني]]/90)</f>
        <v>0</v>
      </c>
      <c r="M274" s="6"/>
    </row>
    <row r="275" spans="8:13" s="8" customFormat="1" x14ac:dyDescent="0.3">
      <c r="H275" s="5" t="s">
        <v>144</v>
      </c>
      <c r="I275" s="21"/>
      <c r="J275" s="13"/>
      <c r="L275" s="26">
        <f>Table1345678101112131415161718192021222324252627283031[[#This Row],[الدولار]]+(Table1345678101112131415161718192021222324252627283031[[#This Row],[اللبناني]]/90)</f>
        <v>0</v>
      </c>
      <c r="M275" s="6"/>
    </row>
    <row r="276" spans="8:13" s="8" customFormat="1" x14ac:dyDescent="0.3">
      <c r="H276" s="5" t="s">
        <v>144</v>
      </c>
      <c r="I276" s="21"/>
      <c r="J276" s="13"/>
      <c r="L276" s="26">
        <f>Table1345678101112131415161718192021222324252627283031[[#This Row],[الدولار]]+(Table1345678101112131415161718192021222324252627283031[[#This Row],[اللبناني]]/90)</f>
        <v>0</v>
      </c>
      <c r="M276" s="6"/>
    </row>
    <row r="277" spans="8:13" s="8" customFormat="1" x14ac:dyDescent="0.3">
      <c r="H277" s="5" t="s">
        <v>144</v>
      </c>
      <c r="I277" s="21"/>
      <c r="J277" s="13"/>
      <c r="L277" s="26">
        <f>Table1345678101112131415161718192021222324252627283031[[#This Row],[الدولار]]+(Table1345678101112131415161718192021222324252627283031[[#This Row],[اللبناني]]/90)</f>
        <v>0</v>
      </c>
      <c r="M277" s="6"/>
    </row>
    <row r="278" spans="8:13" s="8" customFormat="1" x14ac:dyDescent="0.3">
      <c r="H278" s="5" t="s">
        <v>144</v>
      </c>
      <c r="I278" s="21"/>
      <c r="J278" s="13"/>
      <c r="L278" s="26">
        <f>Table1345678101112131415161718192021222324252627283031[[#This Row],[الدولار]]+(Table1345678101112131415161718192021222324252627283031[[#This Row],[اللبناني]]/90)</f>
        <v>0</v>
      </c>
      <c r="M278" s="6"/>
    </row>
    <row r="279" spans="8:13" s="8" customFormat="1" x14ac:dyDescent="0.3">
      <c r="H279" s="5" t="s">
        <v>144</v>
      </c>
      <c r="I279" s="21"/>
      <c r="J279" s="13"/>
      <c r="L279" s="26">
        <f>Table1345678101112131415161718192021222324252627283031[[#This Row],[الدولار]]+(Table1345678101112131415161718192021222324252627283031[[#This Row],[اللبناني]]/90)</f>
        <v>0</v>
      </c>
      <c r="M279" s="6"/>
    </row>
    <row r="280" spans="8:13" s="8" customFormat="1" x14ac:dyDescent="0.3">
      <c r="H280" s="5" t="s">
        <v>144</v>
      </c>
      <c r="I280" s="21"/>
      <c r="J280" s="13"/>
      <c r="L280" s="26">
        <f>Table1345678101112131415161718192021222324252627283031[[#This Row],[الدولار]]+(Table1345678101112131415161718192021222324252627283031[[#This Row],[اللبناني]]/90)</f>
        <v>0</v>
      </c>
      <c r="M280" s="6"/>
    </row>
    <row r="281" spans="8:13" s="8" customFormat="1" x14ac:dyDescent="0.3">
      <c r="H281" s="5" t="s">
        <v>144</v>
      </c>
      <c r="I281" s="21"/>
      <c r="J281" s="13"/>
      <c r="L281" s="26">
        <f>Table1345678101112131415161718192021222324252627283031[[#This Row],[الدولار]]+(Table1345678101112131415161718192021222324252627283031[[#This Row],[اللبناني]]/90)</f>
        <v>0</v>
      </c>
      <c r="M281" s="6"/>
    </row>
    <row r="282" spans="8:13" s="8" customFormat="1" x14ac:dyDescent="0.3">
      <c r="H282" s="5" t="s">
        <v>144</v>
      </c>
      <c r="I282" s="21"/>
      <c r="J282" s="13"/>
      <c r="L282" s="26">
        <f>Table1345678101112131415161718192021222324252627283031[[#This Row],[الدولار]]+(Table1345678101112131415161718192021222324252627283031[[#This Row],[اللبناني]]/90)</f>
        <v>0</v>
      </c>
      <c r="M282" s="6"/>
    </row>
    <row r="283" spans="8:13" s="8" customFormat="1" x14ac:dyDescent="0.3">
      <c r="H283" s="5" t="s">
        <v>144</v>
      </c>
      <c r="I283" s="21"/>
      <c r="J283" s="13"/>
      <c r="L283" s="26">
        <f>Table1345678101112131415161718192021222324252627283031[[#This Row],[الدولار]]+(Table1345678101112131415161718192021222324252627283031[[#This Row],[اللبناني]]/90)</f>
        <v>0</v>
      </c>
      <c r="M283" s="6"/>
    </row>
    <row r="284" spans="8:13" s="8" customFormat="1" x14ac:dyDescent="0.3">
      <c r="H284" s="5" t="s">
        <v>144</v>
      </c>
      <c r="I284" s="21"/>
      <c r="J284" s="13"/>
      <c r="L284" s="26">
        <f>Table1345678101112131415161718192021222324252627283031[[#This Row],[الدولار]]+(Table1345678101112131415161718192021222324252627283031[[#This Row],[اللبناني]]/90)</f>
        <v>0</v>
      </c>
      <c r="M284" s="6"/>
    </row>
    <row r="285" spans="8:13" s="8" customFormat="1" x14ac:dyDescent="0.3">
      <c r="H285" s="5" t="s">
        <v>144</v>
      </c>
      <c r="I285" s="21"/>
      <c r="J285" s="13"/>
      <c r="L285" s="26">
        <f>Table1345678101112131415161718192021222324252627283031[[#This Row],[الدولار]]+(Table1345678101112131415161718192021222324252627283031[[#This Row],[اللبناني]]/90)</f>
        <v>0</v>
      </c>
      <c r="M285" s="6"/>
    </row>
    <row r="286" spans="8:13" s="8" customFormat="1" x14ac:dyDescent="0.3">
      <c r="H286" s="5" t="s">
        <v>144</v>
      </c>
      <c r="I286" s="21"/>
      <c r="J286" s="13"/>
      <c r="L286" s="26">
        <f>Table1345678101112131415161718192021222324252627283031[[#This Row],[الدولار]]+(Table1345678101112131415161718192021222324252627283031[[#This Row],[اللبناني]]/90)</f>
        <v>0</v>
      </c>
      <c r="M286" s="6"/>
    </row>
    <row r="287" spans="8:13" s="8" customFormat="1" x14ac:dyDescent="0.3">
      <c r="H287" s="5" t="s">
        <v>144</v>
      </c>
      <c r="I287" s="21"/>
      <c r="J287" s="13"/>
      <c r="L287" s="26">
        <f>Table1345678101112131415161718192021222324252627283031[[#This Row],[الدولار]]+(Table1345678101112131415161718192021222324252627283031[[#This Row],[اللبناني]]/90)</f>
        <v>0</v>
      </c>
      <c r="M287" s="6"/>
    </row>
    <row r="288" spans="8:13" s="8" customFormat="1" x14ac:dyDescent="0.3">
      <c r="H288" s="5" t="s">
        <v>144</v>
      </c>
      <c r="I288" s="21"/>
      <c r="J288" s="13"/>
      <c r="L288" s="26">
        <f>Table1345678101112131415161718192021222324252627283031[[#This Row],[الدولار]]+(Table1345678101112131415161718192021222324252627283031[[#This Row],[اللبناني]]/90)</f>
        <v>0</v>
      </c>
      <c r="M288" s="6"/>
    </row>
    <row r="289" spans="8:13" s="8" customFormat="1" x14ac:dyDescent="0.3">
      <c r="H289" s="5" t="s">
        <v>144</v>
      </c>
      <c r="I289" s="21"/>
      <c r="J289" s="13"/>
      <c r="L289" s="26">
        <f>Table1345678101112131415161718192021222324252627283031[[#This Row],[الدولار]]+(Table1345678101112131415161718192021222324252627283031[[#This Row],[اللبناني]]/90)</f>
        <v>0</v>
      </c>
      <c r="M289" s="6"/>
    </row>
    <row r="290" spans="8:13" s="8" customFormat="1" x14ac:dyDescent="0.3">
      <c r="H290" s="5" t="s">
        <v>144</v>
      </c>
      <c r="I290" s="21"/>
      <c r="J290" s="13"/>
      <c r="L290" s="26">
        <f>Table1345678101112131415161718192021222324252627283031[[#This Row],[الدولار]]+(Table1345678101112131415161718192021222324252627283031[[#This Row],[اللبناني]]/90)</f>
        <v>0</v>
      </c>
      <c r="M290" s="6"/>
    </row>
    <row r="291" spans="8:13" s="8" customFormat="1" x14ac:dyDescent="0.3">
      <c r="H291" s="5" t="s">
        <v>144</v>
      </c>
      <c r="I291" s="21"/>
      <c r="J291" s="13"/>
      <c r="L291" s="26">
        <f>Table1345678101112131415161718192021222324252627283031[[#This Row],[الدولار]]+(Table1345678101112131415161718192021222324252627283031[[#This Row],[اللبناني]]/90)</f>
        <v>0</v>
      </c>
      <c r="M291" s="6"/>
    </row>
    <row r="292" spans="8:13" s="8" customFormat="1" x14ac:dyDescent="0.3">
      <c r="H292" s="5" t="s">
        <v>144</v>
      </c>
      <c r="I292" s="21"/>
      <c r="J292" s="13"/>
      <c r="L292" s="26">
        <f>Table1345678101112131415161718192021222324252627283031[[#This Row],[الدولار]]+(Table1345678101112131415161718192021222324252627283031[[#This Row],[اللبناني]]/90)</f>
        <v>0</v>
      </c>
      <c r="M292" s="6"/>
    </row>
    <row r="293" spans="8:13" s="8" customFormat="1" x14ac:dyDescent="0.3">
      <c r="H293" s="5" t="s">
        <v>144</v>
      </c>
      <c r="I293" s="21"/>
      <c r="J293" s="13"/>
      <c r="L293" s="26">
        <f>Table1345678101112131415161718192021222324252627283031[[#This Row],[الدولار]]+(Table1345678101112131415161718192021222324252627283031[[#This Row],[اللبناني]]/90)</f>
        <v>0</v>
      </c>
      <c r="M293" s="6"/>
    </row>
    <row r="294" spans="8:13" s="8" customFormat="1" x14ac:dyDescent="0.3">
      <c r="H294" s="5" t="s">
        <v>144</v>
      </c>
      <c r="I294" s="21"/>
      <c r="J294" s="13"/>
      <c r="L294" s="26">
        <f>Table1345678101112131415161718192021222324252627283031[[#This Row],[الدولار]]+(Table1345678101112131415161718192021222324252627283031[[#This Row],[اللبناني]]/90)</f>
        <v>0</v>
      </c>
      <c r="M294" s="6"/>
    </row>
    <row r="295" spans="8:13" s="8" customFormat="1" x14ac:dyDescent="0.3">
      <c r="H295" s="5" t="s">
        <v>144</v>
      </c>
      <c r="I295" s="21"/>
      <c r="J295" s="13"/>
      <c r="L295" s="26">
        <f>Table1345678101112131415161718192021222324252627283031[[#This Row],[الدولار]]+(Table1345678101112131415161718192021222324252627283031[[#This Row],[اللبناني]]/90)</f>
        <v>0</v>
      </c>
      <c r="M295" s="6"/>
    </row>
    <row r="296" spans="8:13" s="8" customFormat="1" x14ac:dyDescent="0.3">
      <c r="H296" s="5" t="s">
        <v>144</v>
      </c>
      <c r="I296" s="21"/>
      <c r="J296" s="13"/>
      <c r="L296" s="26">
        <f>Table1345678101112131415161718192021222324252627283031[[#This Row],[الدولار]]+(Table1345678101112131415161718192021222324252627283031[[#This Row],[اللبناني]]/90)</f>
        <v>0</v>
      </c>
      <c r="M296" s="6"/>
    </row>
    <row r="297" spans="8:13" s="8" customFormat="1" x14ac:dyDescent="0.3">
      <c r="H297" s="5" t="s">
        <v>144</v>
      </c>
      <c r="I297" s="21"/>
      <c r="J297" s="13"/>
      <c r="L297" s="26">
        <f>Table1345678101112131415161718192021222324252627283031[[#This Row],[الدولار]]+(Table1345678101112131415161718192021222324252627283031[[#This Row],[اللبناني]]/90)</f>
        <v>0</v>
      </c>
      <c r="M297" s="6"/>
    </row>
    <row r="298" spans="8:13" s="8" customFormat="1" x14ac:dyDescent="0.3">
      <c r="H298" s="5" t="s">
        <v>144</v>
      </c>
      <c r="I298" s="21"/>
      <c r="J298" s="13"/>
      <c r="L298" s="26">
        <f>Table1345678101112131415161718192021222324252627283031[[#This Row],[الدولار]]+(Table1345678101112131415161718192021222324252627283031[[#This Row],[اللبناني]]/90)</f>
        <v>0</v>
      </c>
      <c r="M298" s="6"/>
    </row>
    <row r="299" spans="8:13" s="8" customFormat="1" x14ac:dyDescent="0.3">
      <c r="H299" s="5" t="s">
        <v>144</v>
      </c>
      <c r="I299" s="21"/>
      <c r="J299" s="13"/>
      <c r="L299" s="26">
        <f>Table1345678101112131415161718192021222324252627283031[[#This Row],[الدولار]]+(Table1345678101112131415161718192021222324252627283031[[#This Row],[اللبناني]]/90)</f>
        <v>0</v>
      </c>
      <c r="M299" s="6"/>
    </row>
    <row r="300" spans="8:13" s="8" customFormat="1" x14ac:dyDescent="0.3">
      <c r="H300" s="5" t="s">
        <v>144</v>
      </c>
      <c r="I300" s="21"/>
      <c r="J300" s="13"/>
      <c r="L300" s="26">
        <f>Table1345678101112131415161718192021222324252627283031[[#This Row],[الدولار]]+(Table1345678101112131415161718192021222324252627283031[[#This Row],[اللبناني]]/90)</f>
        <v>0</v>
      </c>
      <c r="M300" s="6"/>
    </row>
    <row r="301" spans="8:13" s="8" customFormat="1" x14ac:dyDescent="0.3">
      <c r="H301" s="5" t="s">
        <v>144</v>
      </c>
      <c r="I301" s="21"/>
      <c r="J301" s="13"/>
      <c r="L301" s="26">
        <f>Table1345678101112131415161718192021222324252627283031[[#This Row],[الدولار]]+(Table1345678101112131415161718192021222324252627283031[[#This Row],[اللبناني]]/90)</f>
        <v>0</v>
      </c>
      <c r="M301" s="6"/>
    </row>
    <row r="302" spans="8:13" s="8" customFormat="1" x14ac:dyDescent="0.3">
      <c r="H302" s="5" t="s">
        <v>144</v>
      </c>
      <c r="I302" s="21"/>
      <c r="J302" s="13"/>
      <c r="L302" s="26">
        <f>Table1345678101112131415161718192021222324252627283031[[#This Row],[الدولار]]+(Table1345678101112131415161718192021222324252627283031[[#This Row],[اللبناني]]/90)</f>
        <v>0</v>
      </c>
      <c r="M302" s="6"/>
    </row>
    <row r="303" spans="8:13" s="8" customFormat="1" x14ac:dyDescent="0.3">
      <c r="H303" s="5" t="s">
        <v>144</v>
      </c>
      <c r="I303" s="21"/>
      <c r="J303" s="13"/>
      <c r="L303" s="26">
        <f>Table1345678101112131415161718192021222324252627283031[[#This Row],[الدولار]]+(Table1345678101112131415161718192021222324252627283031[[#This Row],[اللبناني]]/90)</f>
        <v>0</v>
      </c>
      <c r="M303" s="6"/>
    </row>
    <row r="304" spans="8:13" s="8" customFormat="1" x14ac:dyDescent="0.3">
      <c r="H304" s="5" t="s">
        <v>144</v>
      </c>
      <c r="I304" s="21"/>
      <c r="J304" s="13"/>
      <c r="L304" s="26">
        <f>Table1345678101112131415161718192021222324252627283031[[#This Row],[الدولار]]+(Table1345678101112131415161718192021222324252627283031[[#This Row],[اللبناني]]/90)</f>
        <v>0</v>
      </c>
      <c r="M304" s="6"/>
    </row>
    <row r="305" spans="8:13" s="8" customFormat="1" x14ac:dyDescent="0.3">
      <c r="H305" s="5" t="s">
        <v>144</v>
      </c>
      <c r="I305" s="21"/>
      <c r="J305" s="13"/>
      <c r="L305" s="26">
        <f>Table1345678101112131415161718192021222324252627283031[[#This Row],[الدولار]]+(Table1345678101112131415161718192021222324252627283031[[#This Row],[اللبناني]]/90)</f>
        <v>0</v>
      </c>
      <c r="M305" s="6"/>
    </row>
    <row r="306" spans="8:13" s="8" customFormat="1" x14ac:dyDescent="0.3">
      <c r="H306" s="5" t="s">
        <v>144</v>
      </c>
      <c r="I306" s="21"/>
      <c r="J306" s="13"/>
      <c r="L306" s="26">
        <f>Table1345678101112131415161718192021222324252627283031[[#This Row],[الدولار]]+(Table1345678101112131415161718192021222324252627283031[[#This Row],[اللبناني]]/90)</f>
        <v>0</v>
      </c>
      <c r="M306" s="6"/>
    </row>
    <row r="307" spans="8:13" s="8" customFormat="1" x14ac:dyDescent="0.3">
      <c r="H307" s="5" t="s">
        <v>144</v>
      </c>
      <c r="I307" s="21"/>
      <c r="J307" s="13"/>
      <c r="L307" s="26">
        <f>Table1345678101112131415161718192021222324252627283031[[#This Row],[الدولار]]+(Table1345678101112131415161718192021222324252627283031[[#This Row],[اللبناني]]/90)</f>
        <v>0</v>
      </c>
      <c r="M307" s="6"/>
    </row>
    <row r="308" spans="8:13" s="8" customFormat="1" x14ac:dyDescent="0.3">
      <c r="H308" s="5" t="s">
        <v>144</v>
      </c>
      <c r="I308" s="21"/>
      <c r="J308" s="13"/>
      <c r="L308" s="26">
        <f>Table1345678101112131415161718192021222324252627283031[[#This Row],[الدولار]]+(Table1345678101112131415161718192021222324252627283031[[#This Row],[اللبناني]]/90)</f>
        <v>0</v>
      </c>
      <c r="M308" s="6"/>
    </row>
    <row r="309" spans="8:13" s="8" customFormat="1" x14ac:dyDescent="0.3">
      <c r="H309" s="5" t="s">
        <v>144</v>
      </c>
      <c r="I309" s="21"/>
      <c r="J309" s="13"/>
      <c r="L309" s="26">
        <f>Table1345678101112131415161718192021222324252627283031[[#This Row],[الدولار]]+(Table1345678101112131415161718192021222324252627283031[[#This Row],[اللبناني]]/90)</f>
        <v>0</v>
      </c>
      <c r="M309" s="6"/>
    </row>
    <row r="310" spans="8:13" s="8" customFormat="1" x14ac:dyDescent="0.3">
      <c r="H310" s="5" t="s">
        <v>144</v>
      </c>
      <c r="I310" s="21"/>
      <c r="J310" s="13"/>
      <c r="L310" s="26">
        <f>Table1345678101112131415161718192021222324252627283031[[#This Row],[الدولار]]+(Table1345678101112131415161718192021222324252627283031[[#This Row],[اللبناني]]/90)</f>
        <v>0</v>
      </c>
      <c r="M310" s="6"/>
    </row>
    <row r="311" spans="8:13" s="8" customFormat="1" x14ac:dyDescent="0.3">
      <c r="H311" s="5" t="s">
        <v>144</v>
      </c>
      <c r="I311" s="21"/>
      <c r="J311" s="13"/>
      <c r="L311" s="26">
        <f>Table1345678101112131415161718192021222324252627283031[[#This Row],[الدولار]]+(Table1345678101112131415161718192021222324252627283031[[#This Row],[اللبناني]]/90)</f>
        <v>0</v>
      </c>
      <c r="M311" s="6"/>
    </row>
    <row r="312" spans="8:13" s="8" customFormat="1" x14ac:dyDescent="0.3">
      <c r="H312" s="5" t="s">
        <v>144</v>
      </c>
      <c r="I312" s="21"/>
      <c r="J312" s="13"/>
      <c r="L312" s="26">
        <f>Table1345678101112131415161718192021222324252627283031[[#This Row],[الدولار]]+(Table1345678101112131415161718192021222324252627283031[[#This Row],[اللبناني]]/90)</f>
        <v>0</v>
      </c>
      <c r="M312" s="6"/>
    </row>
    <row r="313" spans="8:13" s="8" customFormat="1" x14ac:dyDescent="0.3">
      <c r="H313" s="5" t="s">
        <v>144</v>
      </c>
      <c r="I313" s="21"/>
      <c r="J313" s="13"/>
      <c r="L313" s="26">
        <f>Table1345678101112131415161718192021222324252627283031[[#This Row],[الدولار]]+(Table1345678101112131415161718192021222324252627283031[[#This Row],[اللبناني]]/90)</f>
        <v>0</v>
      </c>
      <c r="M313" s="6"/>
    </row>
    <row r="314" spans="8:13" s="8" customFormat="1" x14ac:dyDescent="0.3">
      <c r="H314" s="5" t="s">
        <v>144</v>
      </c>
      <c r="I314" s="21"/>
      <c r="J314" s="13"/>
      <c r="L314" s="26">
        <f>Table1345678101112131415161718192021222324252627283031[[#This Row],[الدولار]]+(Table1345678101112131415161718192021222324252627283031[[#This Row],[اللبناني]]/90)</f>
        <v>0</v>
      </c>
      <c r="M314" s="6"/>
    </row>
    <row r="315" spans="8:13" s="8" customFormat="1" x14ac:dyDescent="0.3">
      <c r="H315" s="5" t="s">
        <v>144</v>
      </c>
      <c r="I315" s="21"/>
      <c r="J315" s="13"/>
      <c r="L315" s="26">
        <f>Table1345678101112131415161718192021222324252627283031[[#This Row],[الدولار]]+(Table1345678101112131415161718192021222324252627283031[[#This Row],[اللبناني]]/90)</f>
        <v>0</v>
      </c>
      <c r="M315" s="6"/>
    </row>
    <row r="316" spans="8:13" s="8" customFormat="1" x14ac:dyDescent="0.3">
      <c r="H316" s="5" t="s">
        <v>144</v>
      </c>
      <c r="I316" s="21"/>
      <c r="J316" s="13"/>
      <c r="L316" s="26">
        <f>Table1345678101112131415161718192021222324252627283031[[#This Row],[الدولار]]+(Table1345678101112131415161718192021222324252627283031[[#This Row],[اللبناني]]/90)</f>
        <v>0</v>
      </c>
      <c r="M316" s="6"/>
    </row>
    <row r="317" spans="8:13" s="8" customFormat="1" x14ac:dyDescent="0.3">
      <c r="H317" s="5" t="s">
        <v>144</v>
      </c>
      <c r="I317" s="21"/>
      <c r="J317" s="13"/>
      <c r="L317" s="26">
        <f>Table1345678101112131415161718192021222324252627283031[[#This Row],[الدولار]]+(Table1345678101112131415161718192021222324252627283031[[#This Row],[اللبناني]]/90)</f>
        <v>0</v>
      </c>
      <c r="M317" s="6"/>
    </row>
    <row r="318" spans="8:13" s="8" customFormat="1" x14ac:dyDescent="0.3">
      <c r="H318" s="5" t="s">
        <v>144</v>
      </c>
      <c r="I318" s="21"/>
      <c r="J318" s="13"/>
      <c r="L318" s="26">
        <f>Table1345678101112131415161718192021222324252627283031[[#This Row],[الدولار]]+(Table1345678101112131415161718192021222324252627283031[[#This Row],[اللبناني]]/90)</f>
        <v>0</v>
      </c>
      <c r="M318" s="6"/>
    </row>
    <row r="319" spans="8:13" s="8" customFormat="1" x14ac:dyDescent="0.3">
      <c r="H319" s="5" t="s">
        <v>144</v>
      </c>
      <c r="I319" s="21"/>
      <c r="J319" s="13"/>
      <c r="L319" s="26">
        <f>Table1345678101112131415161718192021222324252627283031[[#This Row],[الدولار]]+(Table1345678101112131415161718192021222324252627283031[[#This Row],[اللبناني]]/90)</f>
        <v>0</v>
      </c>
      <c r="M319" s="6"/>
    </row>
    <row r="320" spans="8:13" s="8" customFormat="1" x14ac:dyDescent="0.3">
      <c r="H320" s="5" t="s">
        <v>144</v>
      </c>
      <c r="I320" s="21"/>
      <c r="J320" s="13"/>
      <c r="L320" s="26">
        <f>Table1345678101112131415161718192021222324252627283031[[#This Row],[الدولار]]+(Table1345678101112131415161718192021222324252627283031[[#This Row],[اللبناني]]/90)</f>
        <v>0</v>
      </c>
      <c r="M320" s="6"/>
    </row>
    <row r="321" spans="8:13" s="8" customFormat="1" x14ac:dyDescent="0.3">
      <c r="H321" s="5" t="s">
        <v>144</v>
      </c>
      <c r="I321" s="21"/>
      <c r="J321" s="13"/>
      <c r="L321" s="26">
        <f>Table1345678101112131415161718192021222324252627283031[[#This Row],[الدولار]]+(Table1345678101112131415161718192021222324252627283031[[#This Row],[اللبناني]]/90)</f>
        <v>0</v>
      </c>
      <c r="M321" s="6"/>
    </row>
    <row r="322" spans="8:13" s="8" customFormat="1" x14ac:dyDescent="0.3">
      <c r="H322" s="5" t="s">
        <v>144</v>
      </c>
      <c r="I322" s="21"/>
      <c r="J322" s="13"/>
      <c r="L322" s="26">
        <f>Table1345678101112131415161718192021222324252627283031[[#This Row],[الدولار]]+(Table1345678101112131415161718192021222324252627283031[[#This Row],[اللبناني]]/90)</f>
        <v>0</v>
      </c>
      <c r="M322" s="6"/>
    </row>
    <row r="323" spans="8:13" s="8" customFormat="1" x14ac:dyDescent="0.3">
      <c r="H323" s="5" t="s">
        <v>144</v>
      </c>
      <c r="I323" s="21"/>
      <c r="J323" s="13"/>
      <c r="L323" s="26">
        <f>Table1345678101112131415161718192021222324252627283031[[#This Row],[الدولار]]+(Table1345678101112131415161718192021222324252627283031[[#This Row],[اللبناني]]/90)</f>
        <v>0</v>
      </c>
      <c r="M323" s="6"/>
    </row>
    <row r="324" spans="8:13" s="8" customFormat="1" x14ac:dyDescent="0.3">
      <c r="H324" s="5" t="s">
        <v>144</v>
      </c>
      <c r="I324" s="21"/>
      <c r="J324" s="13"/>
      <c r="L324" s="26">
        <f>Table1345678101112131415161718192021222324252627283031[[#This Row],[الدولار]]+(Table1345678101112131415161718192021222324252627283031[[#This Row],[اللبناني]]/90)</f>
        <v>0</v>
      </c>
      <c r="M324" s="6"/>
    </row>
    <row r="325" spans="8:13" s="8" customFormat="1" x14ac:dyDescent="0.3">
      <c r="H325" s="5" t="s">
        <v>144</v>
      </c>
      <c r="I325" s="21"/>
      <c r="J325" s="13"/>
      <c r="L325" s="26">
        <f>Table1345678101112131415161718192021222324252627283031[[#This Row],[الدولار]]+(Table1345678101112131415161718192021222324252627283031[[#This Row],[اللبناني]]/90)</f>
        <v>0</v>
      </c>
      <c r="M325" s="6"/>
    </row>
    <row r="326" spans="8:13" s="8" customFormat="1" x14ac:dyDescent="0.3">
      <c r="H326" s="5" t="s">
        <v>144</v>
      </c>
      <c r="I326" s="21"/>
      <c r="J326" s="13"/>
      <c r="L326" s="26">
        <f>Table1345678101112131415161718192021222324252627283031[[#This Row],[الدولار]]+(Table1345678101112131415161718192021222324252627283031[[#This Row],[اللبناني]]/90)</f>
        <v>0</v>
      </c>
      <c r="M326" s="6"/>
    </row>
    <row r="327" spans="8:13" s="8" customFormat="1" x14ac:dyDescent="0.3">
      <c r="H327" s="5" t="s">
        <v>144</v>
      </c>
      <c r="I327" s="21"/>
      <c r="J327" s="13"/>
      <c r="L327" s="26">
        <f>Table1345678101112131415161718192021222324252627283031[[#This Row],[الدولار]]+(Table1345678101112131415161718192021222324252627283031[[#This Row],[اللبناني]]/90)</f>
        <v>0</v>
      </c>
      <c r="M327" s="6"/>
    </row>
    <row r="328" spans="8:13" s="8" customFormat="1" x14ac:dyDescent="0.3">
      <c r="H328" s="5" t="s">
        <v>144</v>
      </c>
      <c r="I328" s="21"/>
      <c r="J328" s="13"/>
      <c r="L328" s="26">
        <f>Table1345678101112131415161718192021222324252627283031[[#This Row],[الدولار]]+(Table1345678101112131415161718192021222324252627283031[[#This Row],[اللبناني]]/90)</f>
        <v>0</v>
      </c>
      <c r="M328" s="6"/>
    </row>
    <row r="329" spans="8:13" s="8" customFormat="1" x14ac:dyDescent="0.3">
      <c r="H329" s="5" t="s">
        <v>144</v>
      </c>
      <c r="I329" s="21"/>
      <c r="J329" s="13"/>
      <c r="L329" s="26">
        <f>Table1345678101112131415161718192021222324252627283031[[#This Row],[الدولار]]+(Table1345678101112131415161718192021222324252627283031[[#This Row],[اللبناني]]/90)</f>
        <v>0</v>
      </c>
      <c r="M329" s="6"/>
    </row>
    <row r="330" spans="8:13" s="8" customFormat="1" x14ac:dyDescent="0.3">
      <c r="H330" s="5" t="s">
        <v>144</v>
      </c>
      <c r="I330" s="21"/>
      <c r="J330" s="13"/>
      <c r="L330" s="26">
        <f>Table1345678101112131415161718192021222324252627283031[[#This Row],[الدولار]]+(Table1345678101112131415161718192021222324252627283031[[#This Row],[اللبناني]]/90)</f>
        <v>0</v>
      </c>
      <c r="M330" s="6"/>
    </row>
    <row r="331" spans="8:13" s="8" customFormat="1" x14ac:dyDescent="0.3">
      <c r="H331" s="5" t="s">
        <v>144</v>
      </c>
      <c r="I331" s="21"/>
      <c r="J331" s="13"/>
      <c r="L331" s="26">
        <f>Table1345678101112131415161718192021222324252627283031[[#This Row],[الدولار]]+(Table1345678101112131415161718192021222324252627283031[[#This Row],[اللبناني]]/90)</f>
        <v>0</v>
      </c>
      <c r="M331" s="6"/>
    </row>
    <row r="332" spans="8:13" s="8" customFormat="1" x14ac:dyDescent="0.3">
      <c r="H332" s="5" t="s">
        <v>144</v>
      </c>
      <c r="I332" s="21"/>
      <c r="J332" s="13"/>
      <c r="L332" s="26">
        <f>Table1345678101112131415161718192021222324252627283031[[#This Row],[الدولار]]+(Table1345678101112131415161718192021222324252627283031[[#This Row],[اللبناني]]/90)</f>
        <v>0</v>
      </c>
      <c r="M332" s="6"/>
    </row>
    <row r="333" spans="8:13" s="8" customFormat="1" x14ac:dyDescent="0.3">
      <c r="H333" s="5" t="s">
        <v>144</v>
      </c>
      <c r="I333" s="21"/>
      <c r="J333" s="13"/>
      <c r="L333" s="26">
        <f>Table1345678101112131415161718192021222324252627283031[[#This Row],[الدولار]]+(Table1345678101112131415161718192021222324252627283031[[#This Row],[اللبناني]]/90)</f>
        <v>0</v>
      </c>
      <c r="M333" s="6"/>
    </row>
    <row r="334" spans="8:13" s="8" customFormat="1" x14ac:dyDescent="0.3">
      <c r="H334" s="5" t="s">
        <v>144</v>
      </c>
      <c r="I334" s="21"/>
      <c r="J334" s="13"/>
      <c r="L334" s="26">
        <f>Table1345678101112131415161718192021222324252627283031[[#This Row],[الدولار]]+(Table1345678101112131415161718192021222324252627283031[[#This Row],[اللبناني]]/90)</f>
        <v>0</v>
      </c>
      <c r="M334" s="6"/>
    </row>
    <row r="335" spans="8:13" s="8" customFormat="1" x14ac:dyDescent="0.3">
      <c r="H335" s="5" t="s">
        <v>144</v>
      </c>
      <c r="I335" s="21"/>
      <c r="J335" s="13"/>
      <c r="L335" s="26">
        <f>Table1345678101112131415161718192021222324252627283031[[#This Row],[الدولار]]+(Table1345678101112131415161718192021222324252627283031[[#This Row],[اللبناني]]/90)</f>
        <v>0</v>
      </c>
      <c r="M335" s="6"/>
    </row>
    <row r="336" spans="8:13" s="8" customFormat="1" x14ac:dyDescent="0.3">
      <c r="H336" s="5" t="s">
        <v>144</v>
      </c>
      <c r="I336" s="21"/>
      <c r="J336" s="13"/>
      <c r="L336" s="26">
        <f>Table1345678101112131415161718192021222324252627283031[[#This Row],[الدولار]]+(Table1345678101112131415161718192021222324252627283031[[#This Row],[اللبناني]]/90)</f>
        <v>0</v>
      </c>
      <c r="M336" s="6"/>
    </row>
    <row r="337" spans="8:13" s="8" customFormat="1" x14ac:dyDescent="0.3">
      <c r="H337" s="5" t="s">
        <v>144</v>
      </c>
      <c r="I337" s="21"/>
      <c r="J337" s="13"/>
      <c r="L337" s="26">
        <f>Table1345678101112131415161718192021222324252627283031[[#This Row],[الدولار]]+(Table1345678101112131415161718192021222324252627283031[[#This Row],[اللبناني]]/90)</f>
        <v>0</v>
      </c>
      <c r="M337" s="6"/>
    </row>
    <row r="338" spans="8:13" s="8" customFormat="1" x14ac:dyDescent="0.3">
      <c r="H338" s="5" t="s">
        <v>144</v>
      </c>
      <c r="I338" s="21"/>
      <c r="J338" s="13"/>
      <c r="L338" s="26">
        <f>Table1345678101112131415161718192021222324252627283031[[#This Row],[الدولار]]+(Table1345678101112131415161718192021222324252627283031[[#This Row],[اللبناني]]/90)</f>
        <v>0</v>
      </c>
      <c r="M338" s="6"/>
    </row>
    <row r="339" spans="8:13" s="8" customFormat="1" x14ac:dyDescent="0.3">
      <c r="H339" s="5" t="s">
        <v>144</v>
      </c>
      <c r="I339" s="21"/>
      <c r="J339" s="13"/>
      <c r="L339" s="26">
        <f>Table1345678101112131415161718192021222324252627283031[[#This Row],[الدولار]]+(Table1345678101112131415161718192021222324252627283031[[#This Row],[اللبناني]]/90)</f>
        <v>0</v>
      </c>
      <c r="M339" s="6"/>
    </row>
    <row r="340" spans="8:13" s="8" customFormat="1" x14ac:dyDescent="0.3">
      <c r="H340" s="5" t="s">
        <v>144</v>
      </c>
      <c r="I340" s="21"/>
      <c r="J340" s="13"/>
      <c r="L340" s="26">
        <f>Table1345678101112131415161718192021222324252627283031[[#This Row],[الدولار]]+(Table1345678101112131415161718192021222324252627283031[[#This Row],[اللبناني]]/90)</f>
        <v>0</v>
      </c>
      <c r="M340" s="6"/>
    </row>
    <row r="341" spans="8:13" s="8" customFormat="1" x14ac:dyDescent="0.3">
      <c r="H341" s="5" t="s">
        <v>144</v>
      </c>
      <c r="I341" s="21"/>
      <c r="J341" s="13"/>
      <c r="L341" s="26">
        <f>Table1345678101112131415161718192021222324252627283031[[#This Row],[الدولار]]+(Table1345678101112131415161718192021222324252627283031[[#This Row],[اللبناني]]/90)</f>
        <v>0</v>
      </c>
      <c r="M341" s="6"/>
    </row>
    <row r="342" spans="8:13" s="8" customFormat="1" x14ac:dyDescent="0.3">
      <c r="H342" s="5" t="s">
        <v>144</v>
      </c>
      <c r="I342" s="21"/>
      <c r="J342" s="13"/>
      <c r="L342" s="26">
        <f>Table1345678101112131415161718192021222324252627283031[[#This Row],[الدولار]]+(Table1345678101112131415161718192021222324252627283031[[#This Row],[اللبناني]]/90)</f>
        <v>0</v>
      </c>
      <c r="M342" s="6"/>
    </row>
    <row r="343" spans="8:13" s="8" customFormat="1" x14ac:dyDescent="0.3">
      <c r="H343" s="5" t="s">
        <v>144</v>
      </c>
      <c r="I343" s="21"/>
      <c r="J343" s="13"/>
      <c r="L343" s="26">
        <f>Table1345678101112131415161718192021222324252627283031[[#This Row],[الدولار]]+(Table1345678101112131415161718192021222324252627283031[[#This Row],[اللبناني]]/90)</f>
        <v>0</v>
      </c>
      <c r="M343" s="6"/>
    </row>
    <row r="344" spans="8:13" s="8" customFormat="1" x14ac:dyDescent="0.3">
      <c r="H344" s="5" t="s">
        <v>144</v>
      </c>
      <c r="I344" s="21"/>
      <c r="J344" s="13"/>
      <c r="L344" s="26">
        <f>Table1345678101112131415161718192021222324252627283031[[#This Row],[الدولار]]+(Table1345678101112131415161718192021222324252627283031[[#This Row],[اللبناني]]/90)</f>
        <v>0</v>
      </c>
      <c r="M344" s="6"/>
    </row>
    <row r="345" spans="8:13" s="8" customFormat="1" x14ac:dyDescent="0.3">
      <c r="H345" s="5" t="s">
        <v>144</v>
      </c>
      <c r="I345" s="21"/>
      <c r="J345" s="13"/>
      <c r="L345" s="26">
        <f>Table1345678101112131415161718192021222324252627283031[[#This Row],[الدولار]]+(Table1345678101112131415161718192021222324252627283031[[#This Row],[اللبناني]]/90)</f>
        <v>0</v>
      </c>
      <c r="M345" s="6"/>
    </row>
    <row r="346" spans="8:13" s="8" customFormat="1" x14ac:dyDescent="0.3">
      <c r="H346" s="5" t="s">
        <v>144</v>
      </c>
      <c r="I346" s="21"/>
      <c r="J346" s="13"/>
      <c r="L346" s="26">
        <f>Table1345678101112131415161718192021222324252627283031[[#This Row],[الدولار]]+(Table1345678101112131415161718192021222324252627283031[[#This Row],[اللبناني]]/90)</f>
        <v>0</v>
      </c>
      <c r="M346" s="6"/>
    </row>
    <row r="347" spans="8:13" s="8" customFormat="1" x14ac:dyDescent="0.3">
      <c r="H347" s="5" t="s">
        <v>144</v>
      </c>
      <c r="I347" s="21"/>
      <c r="J347" s="13"/>
      <c r="L347" s="26">
        <f>Table1345678101112131415161718192021222324252627283031[[#This Row],[الدولار]]+(Table1345678101112131415161718192021222324252627283031[[#This Row],[اللبناني]]/90)</f>
        <v>0</v>
      </c>
      <c r="M347" s="6"/>
    </row>
    <row r="348" spans="8:13" s="8" customFormat="1" x14ac:dyDescent="0.3">
      <c r="H348" s="5" t="s">
        <v>144</v>
      </c>
      <c r="I348" s="21"/>
      <c r="J348" s="13"/>
      <c r="L348" s="26">
        <f>Table1345678101112131415161718192021222324252627283031[[#This Row],[الدولار]]+(Table1345678101112131415161718192021222324252627283031[[#This Row],[اللبناني]]/90)</f>
        <v>0</v>
      </c>
      <c r="M348" s="6"/>
    </row>
    <row r="349" spans="8:13" s="8" customFormat="1" x14ac:dyDescent="0.3">
      <c r="H349" s="5" t="s">
        <v>144</v>
      </c>
      <c r="I349" s="21"/>
      <c r="J349" s="13"/>
      <c r="L349" s="26">
        <f>Table1345678101112131415161718192021222324252627283031[[#This Row],[الدولار]]+(Table1345678101112131415161718192021222324252627283031[[#This Row],[اللبناني]]/90)</f>
        <v>0</v>
      </c>
      <c r="M349" s="6"/>
    </row>
    <row r="350" spans="8:13" s="8" customFormat="1" x14ac:dyDescent="0.3">
      <c r="H350" s="5" t="s">
        <v>144</v>
      </c>
      <c r="I350" s="21"/>
      <c r="J350" s="13"/>
      <c r="L350" s="26">
        <f>Table1345678101112131415161718192021222324252627283031[[#This Row],[الدولار]]+(Table1345678101112131415161718192021222324252627283031[[#This Row],[اللبناني]]/90)</f>
        <v>0</v>
      </c>
      <c r="M350" s="6"/>
    </row>
    <row r="351" spans="8:13" s="8" customFormat="1" x14ac:dyDescent="0.3">
      <c r="H351" s="5" t="s">
        <v>144</v>
      </c>
      <c r="I351" s="21"/>
      <c r="J351" s="13"/>
      <c r="L351" s="26">
        <f>Table1345678101112131415161718192021222324252627283031[[#This Row],[الدولار]]+(Table1345678101112131415161718192021222324252627283031[[#This Row],[اللبناني]]/90)</f>
        <v>0</v>
      </c>
      <c r="M351" s="6"/>
    </row>
    <row r="352" spans="8:13" s="8" customFormat="1" x14ac:dyDescent="0.3">
      <c r="H352" s="5" t="s">
        <v>144</v>
      </c>
      <c r="I352" s="21"/>
      <c r="J352" s="13"/>
      <c r="L352" s="26">
        <f>Table1345678101112131415161718192021222324252627283031[[#This Row],[الدولار]]+(Table1345678101112131415161718192021222324252627283031[[#This Row],[اللبناني]]/90)</f>
        <v>0</v>
      </c>
      <c r="M352" s="6"/>
    </row>
    <row r="353" spans="8:13" s="8" customFormat="1" x14ac:dyDescent="0.3">
      <c r="H353" s="5" t="s">
        <v>144</v>
      </c>
      <c r="I353" s="21"/>
      <c r="J353" s="13"/>
      <c r="L353" s="26">
        <f>Table1345678101112131415161718192021222324252627283031[[#This Row],[الدولار]]+(Table1345678101112131415161718192021222324252627283031[[#This Row],[اللبناني]]/90)</f>
        <v>0</v>
      </c>
      <c r="M353" s="6"/>
    </row>
    <row r="354" spans="8:13" s="8" customFormat="1" x14ac:dyDescent="0.3">
      <c r="H354" s="5" t="s">
        <v>144</v>
      </c>
      <c r="I354" s="21"/>
      <c r="J354" s="13"/>
      <c r="L354" s="26">
        <f>Table1345678101112131415161718192021222324252627283031[[#This Row],[الدولار]]+(Table1345678101112131415161718192021222324252627283031[[#This Row],[اللبناني]]/90)</f>
        <v>0</v>
      </c>
      <c r="M354" s="6"/>
    </row>
    <row r="355" spans="8:13" s="8" customFormat="1" x14ac:dyDescent="0.3">
      <c r="H355" s="5" t="s">
        <v>144</v>
      </c>
      <c r="I355" s="21"/>
      <c r="J355" s="13"/>
      <c r="L355" s="26">
        <f>Table1345678101112131415161718192021222324252627283031[[#This Row],[الدولار]]+(Table1345678101112131415161718192021222324252627283031[[#This Row],[اللبناني]]/90)</f>
        <v>0</v>
      </c>
      <c r="M355" s="6"/>
    </row>
    <row r="356" spans="8:13" s="8" customFormat="1" x14ac:dyDescent="0.3">
      <c r="H356" s="5" t="s">
        <v>144</v>
      </c>
      <c r="I356" s="21"/>
      <c r="J356" s="13"/>
      <c r="L356" s="26">
        <f>Table1345678101112131415161718192021222324252627283031[[#This Row],[الدولار]]+(Table1345678101112131415161718192021222324252627283031[[#This Row],[اللبناني]]/90)</f>
        <v>0</v>
      </c>
      <c r="M356" s="6"/>
    </row>
    <row r="357" spans="8:13" s="8" customFormat="1" x14ac:dyDescent="0.3">
      <c r="H357" s="5" t="s">
        <v>144</v>
      </c>
      <c r="I357" s="21"/>
      <c r="J357" s="13"/>
      <c r="L357" s="26">
        <f>Table1345678101112131415161718192021222324252627283031[[#This Row],[الدولار]]+(Table1345678101112131415161718192021222324252627283031[[#This Row],[اللبناني]]/90)</f>
        <v>0</v>
      </c>
      <c r="M357" s="6"/>
    </row>
    <row r="358" spans="8:13" s="8" customFormat="1" x14ac:dyDescent="0.3">
      <c r="H358" s="5" t="s">
        <v>144</v>
      </c>
      <c r="I358" s="21"/>
      <c r="J358" s="13"/>
      <c r="L358" s="26">
        <f>Table1345678101112131415161718192021222324252627283031[[#This Row],[الدولار]]+(Table1345678101112131415161718192021222324252627283031[[#This Row],[اللبناني]]/90)</f>
        <v>0</v>
      </c>
      <c r="M358" s="6"/>
    </row>
    <row r="359" spans="8:13" s="8" customFormat="1" x14ac:dyDescent="0.3">
      <c r="H359" s="5" t="s">
        <v>144</v>
      </c>
      <c r="I359" s="21"/>
      <c r="J359" s="13"/>
      <c r="L359" s="26">
        <f>Table1345678101112131415161718192021222324252627283031[[#This Row],[الدولار]]+(Table1345678101112131415161718192021222324252627283031[[#This Row],[اللبناني]]/90)</f>
        <v>0</v>
      </c>
      <c r="M359" s="6"/>
    </row>
    <row r="360" spans="8:13" s="8" customFormat="1" x14ac:dyDescent="0.3">
      <c r="H360" s="5" t="s">
        <v>144</v>
      </c>
      <c r="I360" s="21"/>
      <c r="J360" s="13"/>
      <c r="L360" s="26">
        <f>Table1345678101112131415161718192021222324252627283031[[#This Row],[الدولار]]+(Table1345678101112131415161718192021222324252627283031[[#This Row],[اللبناني]]/90)</f>
        <v>0</v>
      </c>
      <c r="M360" s="6"/>
    </row>
    <row r="361" spans="8:13" s="8" customFormat="1" x14ac:dyDescent="0.3">
      <c r="H361" s="5" t="s">
        <v>144</v>
      </c>
      <c r="I361" s="21"/>
      <c r="J361" s="13"/>
      <c r="L361" s="26">
        <f>Table1345678101112131415161718192021222324252627283031[[#This Row],[الدولار]]+(Table1345678101112131415161718192021222324252627283031[[#This Row],[اللبناني]]/90)</f>
        <v>0</v>
      </c>
      <c r="M361" s="6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.3" footer="0.3"/>
  <pageSetup paperSize="9" scale="65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9DE4F-3E55-4836-860C-C153BF83E696}">
  <sheetPr>
    <pageSetUpPr fitToPage="1"/>
  </sheetPr>
  <dimension ref="A1:S361"/>
  <sheetViews>
    <sheetView rightToLeft="1" topLeftCell="A82" zoomScale="115" zoomScaleNormal="115" workbookViewId="0">
      <selection activeCell="J103" sqref="J103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8.44140625" style="2" bestFit="1" customWidth="1"/>
    <col min="4" max="4" width="10.44140625" style="2" customWidth="1"/>
    <col min="5" max="5" width="7" style="2" customWidth="1"/>
    <col min="6" max="6" width="11.44140625" style="2" bestFit="1" customWidth="1"/>
    <col min="7" max="7" width="2.44140625" style="2" customWidth="1"/>
    <col min="8" max="8" width="8.88671875" style="2" bestFit="1" customWidth="1"/>
    <col min="9" max="9" width="17.88671875" style="21" customWidth="1"/>
    <col min="10" max="10" width="12.109375" style="7" bestFit="1" customWidth="1"/>
    <col min="11" max="11" width="8.5546875" style="8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1.109375" style="2" bestFit="1" customWidth="1"/>
    <col min="20" max="16384" width="8.88671875" style="2"/>
  </cols>
  <sheetData>
    <row r="1" spans="1:19" x14ac:dyDescent="0.3">
      <c r="I1" s="21" t="s">
        <v>22</v>
      </c>
      <c r="J1" s="7">
        <f>SUM(J3:J18)</f>
        <v>880</v>
      </c>
      <c r="K1" s="7">
        <f>SUM(K3:K18)</f>
        <v>390</v>
      </c>
      <c r="L1" s="7">
        <f>SUM(L3:L18)</f>
        <v>399.77777777777777</v>
      </c>
    </row>
    <row r="2" spans="1:19" x14ac:dyDescent="0.3">
      <c r="H2" s="2" t="s">
        <v>136</v>
      </c>
      <c r="I2" s="22" t="s">
        <v>6</v>
      </c>
      <c r="J2" s="3" t="s">
        <v>5</v>
      </c>
      <c r="K2" s="9" t="s">
        <v>4</v>
      </c>
      <c r="L2" s="9" t="s">
        <v>125</v>
      </c>
    </row>
    <row r="3" spans="1:19" x14ac:dyDescent="0.3">
      <c r="H3" s="5" t="s">
        <v>144</v>
      </c>
      <c r="I3" s="23"/>
      <c r="J3" s="15">
        <v>-50</v>
      </c>
      <c r="K3" s="8">
        <v>20</v>
      </c>
      <c r="L3" s="26">
        <f t="shared" ref="L3:L18" si="0">K3+(J3/90)</f>
        <v>19.444444444444443</v>
      </c>
    </row>
    <row r="4" spans="1:19" x14ac:dyDescent="0.3">
      <c r="H4" s="5" t="s">
        <v>144</v>
      </c>
      <c r="I4" s="23"/>
      <c r="J4" s="15">
        <v>990</v>
      </c>
      <c r="L4" s="26">
        <f t="shared" si="0"/>
        <v>11</v>
      </c>
    </row>
    <row r="5" spans="1:19" x14ac:dyDescent="0.3">
      <c r="H5" s="5" t="s">
        <v>144</v>
      </c>
      <c r="I5" s="23"/>
      <c r="J5" s="15">
        <v>180</v>
      </c>
      <c r="L5" s="26">
        <f t="shared" si="0"/>
        <v>2</v>
      </c>
    </row>
    <row r="6" spans="1:19" x14ac:dyDescent="0.3">
      <c r="H6" s="5" t="s">
        <v>144</v>
      </c>
      <c r="I6" s="23"/>
      <c r="J6" s="15">
        <v>350</v>
      </c>
      <c r="L6" s="26">
        <f t="shared" si="0"/>
        <v>3.8888888888888888</v>
      </c>
    </row>
    <row r="7" spans="1:19" x14ac:dyDescent="0.3">
      <c r="H7" s="5" t="s">
        <v>144</v>
      </c>
      <c r="I7" s="23"/>
      <c r="J7" s="15">
        <v>180</v>
      </c>
      <c r="L7" s="26">
        <f t="shared" si="0"/>
        <v>2</v>
      </c>
    </row>
    <row r="8" spans="1:19" x14ac:dyDescent="0.3">
      <c r="H8" s="5" t="s">
        <v>144</v>
      </c>
      <c r="I8" s="23"/>
      <c r="J8" s="15"/>
      <c r="K8" s="8">
        <v>5</v>
      </c>
      <c r="L8" s="26">
        <f t="shared" si="0"/>
        <v>5</v>
      </c>
    </row>
    <row r="9" spans="1:19" x14ac:dyDescent="0.3">
      <c r="H9" s="5" t="s">
        <v>144</v>
      </c>
      <c r="I9" s="23"/>
      <c r="J9" s="15">
        <v>-270</v>
      </c>
      <c r="L9" s="26">
        <f t="shared" si="0"/>
        <v>-3</v>
      </c>
    </row>
    <row r="10" spans="1:19" x14ac:dyDescent="0.3">
      <c r="H10" s="5" t="s">
        <v>144</v>
      </c>
      <c r="I10" s="23"/>
      <c r="J10" s="15"/>
      <c r="K10" s="8">
        <v>65</v>
      </c>
      <c r="L10" s="26">
        <f t="shared" si="0"/>
        <v>65</v>
      </c>
    </row>
    <row r="11" spans="1:19" s="6" customFormat="1" x14ac:dyDescent="0.3">
      <c r="A11" s="2"/>
      <c r="B11" s="2"/>
      <c r="C11" s="2"/>
      <c r="D11" s="2"/>
      <c r="E11" s="2"/>
      <c r="F11" s="2"/>
      <c r="G11" s="2"/>
      <c r="H11" s="5" t="s">
        <v>144</v>
      </c>
      <c r="I11" s="24"/>
      <c r="J11" s="15"/>
      <c r="K11" s="8">
        <v>110</v>
      </c>
      <c r="L11" s="26">
        <f t="shared" si="0"/>
        <v>110</v>
      </c>
      <c r="N11" s="2"/>
      <c r="O11" s="2"/>
      <c r="P11" s="2"/>
      <c r="Q11" s="2"/>
      <c r="R11" s="2"/>
      <c r="S11" s="2"/>
    </row>
    <row r="12" spans="1:19" s="6" customFormat="1" x14ac:dyDescent="0.3">
      <c r="A12" s="2"/>
      <c r="B12" s="2"/>
      <c r="C12" s="2"/>
      <c r="D12" s="2"/>
      <c r="E12" s="2"/>
      <c r="F12" s="2"/>
      <c r="G12" s="2"/>
      <c r="H12" s="5" t="s">
        <v>144</v>
      </c>
      <c r="I12" s="23"/>
      <c r="J12" s="15">
        <v>200</v>
      </c>
      <c r="K12" s="8"/>
      <c r="L12" s="26">
        <f t="shared" si="0"/>
        <v>2.2222222222222223</v>
      </c>
      <c r="N12" s="2"/>
      <c r="O12" s="2"/>
      <c r="P12" s="2"/>
      <c r="Q12" s="2"/>
      <c r="R12" s="2"/>
      <c r="S12" s="2"/>
    </row>
    <row r="13" spans="1:19" s="6" customFormat="1" x14ac:dyDescent="0.3">
      <c r="A13" s="2"/>
      <c r="B13" s="2"/>
      <c r="C13" s="2"/>
      <c r="D13" s="2"/>
      <c r="E13" s="2"/>
      <c r="F13" s="2"/>
      <c r="G13" s="2"/>
      <c r="H13" s="5" t="s">
        <v>144</v>
      </c>
      <c r="I13" s="23"/>
      <c r="J13" s="15">
        <v>200</v>
      </c>
      <c r="K13" s="8"/>
      <c r="L13" s="26">
        <f t="shared" si="0"/>
        <v>2.2222222222222223</v>
      </c>
      <c r="N13" s="2"/>
      <c r="O13" s="2"/>
      <c r="P13" s="2"/>
      <c r="Q13" s="2"/>
      <c r="R13" s="2"/>
      <c r="S13" s="2"/>
    </row>
    <row r="14" spans="1:19" s="6" customFormat="1" x14ac:dyDescent="0.3">
      <c r="A14" s="2"/>
      <c r="B14" s="2"/>
      <c r="C14" s="2"/>
      <c r="D14" s="2"/>
      <c r="E14" s="2"/>
      <c r="F14" s="2"/>
      <c r="G14" s="2"/>
      <c r="H14" s="5" t="s">
        <v>144</v>
      </c>
      <c r="I14" s="23"/>
      <c r="J14" s="15"/>
      <c r="K14" s="8">
        <v>-10</v>
      </c>
      <c r="L14" s="26">
        <f t="shared" si="0"/>
        <v>-10</v>
      </c>
      <c r="N14" s="2"/>
      <c r="O14" s="2"/>
      <c r="P14" s="2"/>
      <c r="Q14" s="2"/>
      <c r="R14" s="2"/>
      <c r="S14" s="2"/>
    </row>
    <row r="15" spans="1:19" s="6" customFormat="1" x14ac:dyDescent="0.3">
      <c r="A15" s="2"/>
      <c r="B15" s="2"/>
      <c r="C15" s="2"/>
      <c r="D15" s="2"/>
      <c r="E15" s="2"/>
      <c r="F15" s="2"/>
      <c r="G15" s="2"/>
      <c r="H15" s="5" t="s">
        <v>144</v>
      </c>
      <c r="I15" s="23"/>
      <c r="J15" s="15">
        <v>-900</v>
      </c>
      <c r="K15" s="8">
        <v>200</v>
      </c>
      <c r="L15" s="26">
        <f t="shared" si="0"/>
        <v>190</v>
      </c>
      <c r="N15" s="2"/>
      <c r="O15" s="2"/>
      <c r="P15" s="2"/>
      <c r="Q15" s="2"/>
      <c r="R15" s="2"/>
      <c r="S15" s="2"/>
    </row>
    <row r="16" spans="1:19" s="6" customFormat="1" x14ac:dyDescent="0.3">
      <c r="A16" s="2"/>
      <c r="B16" s="2"/>
      <c r="C16" s="2"/>
      <c r="D16" s="2"/>
      <c r="E16" s="2"/>
      <c r="F16" s="2"/>
      <c r="G16" s="2"/>
      <c r="H16" s="5" t="s">
        <v>144</v>
      </c>
      <c r="I16" s="23"/>
      <c r="J16" s="15"/>
      <c r="K16" s="8"/>
      <c r="L16" s="26">
        <f t="shared" si="0"/>
        <v>0</v>
      </c>
      <c r="N16" s="2"/>
      <c r="O16" s="2"/>
      <c r="P16" s="2"/>
      <c r="Q16" s="2"/>
      <c r="R16" s="2"/>
      <c r="S16" s="2"/>
    </row>
    <row r="17" spans="1:19" s="6" customFormat="1" x14ac:dyDescent="0.3">
      <c r="A17" s="2"/>
      <c r="B17" s="2"/>
      <c r="C17" s="2"/>
      <c r="D17" s="2"/>
      <c r="E17" s="2"/>
      <c r="F17" s="2"/>
      <c r="G17" s="2"/>
      <c r="H17" s="5" t="s">
        <v>144</v>
      </c>
      <c r="I17" s="23"/>
      <c r="J17" s="15"/>
      <c r="K17" s="8"/>
      <c r="L17" s="26">
        <f t="shared" si="0"/>
        <v>0</v>
      </c>
      <c r="N17" s="2"/>
      <c r="O17" s="2"/>
      <c r="P17" s="2"/>
      <c r="Q17" s="2"/>
      <c r="R17" s="2"/>
      <c r="S17" s="2"/>
    </row>
    <row r="18" spans="1:19" s="6" customFormat="1" x14ac:dyDescent="0.3">
      <c r="A18" s="2" t="s">
        <v>240</v>
      </c>
      <c r="B18" s="2"/>
      <c r="C18" s="2"/>
      <c r="D18" s="2"/>
      <c r="E18" s="2"/>
      <c r="F18" s="2"/>
      <c r="G18" s="2"/>
      <c r="H18" s="5" t="s">
        <v>144</v>
      </c>
      <c r="I18" s="23"/>
      <c r="J18" s="15"/>
      <c r="K18" s="8"/>
      <c r="L18" s="26">
        <f t="shared" si="0"/>
        <v>0</v>
      </c>
      <c r="N18" s="2"/>
      <c r="O18" s="2"/>
      <c r="P18" s="2"/>
      <c r="Q18" s="2"/>
      <c r="R18" s="2"/>
      <c r="S18" s="2"/>
    </row>
    <row r="19" spans="1:19" s="6" customFormat="1" x14ac:dyDescent="0.3">
      <c r="A19" s="31" t="s">
        <v>284</v>
      </c>
      <c r="B19" s="2"/>
      <c r="C19" s="2"/>
      <c r="D19" s="2"/>
      <c r="E19" s="2"/>
      <c r="F19" s="2"/>
      <c r="G19" s="2"/>
      <c r="H19" s="2"/>
      <c r="I19" s="21"/>
      <c r="J19" s="7"/>
      <c r="K19" s="8"/>
      <c r="N19" s="2"/>
      <c r="O19" s="2"/>
      <c r="P19" s="2"/>
      <c r="Q19" s="2"/>
      <c r="R19" s="2"/>
      <c r="S19" s="2"/>
    </row>
    <row r="20" spans="1:19" x14ac:dyDescent="0.3">
      <c r="A20" s="48" t="s">
        <v>19</v>
      </c>
      <c r="B20" s="48"/>
      <c r="C20" s="48"/>
      <c r="D20" s="48"/>
      <c r="E20" s="48"/>
      <c r="F20" s="48"/>
      <c r="I20" s="21" t="s">
        <v>22</v>
      </c>
      <c r="J20" s="7">
        <f>SUM(Table134567810111213141516171819202122232425262728303132[اللبناني])</f>
        <v>-1290</v>
      </c>
      <c r="K20" s="7">
        <f>SUM(Table134567810111213141516171819202122232425262728303132[الدولار])</f>
        <v>-94</v>
      </c>
      <c r="L20" s="7">
        <f>SUM(Table134567810111213141516171819202122232425262728303132[مبيع $])</f>
        <v>-108.33333333333445</v>
      </c>
      <c r="N20" s="48" t="s">
        <v>21</v>
      </c>
      <c r="O20" s="48"/>
      <c r="P20" s="48"/>
      <c r="Q20" s="48"/>
      <c r="R20" s="48"/>
      <c r="S20" s="48"/>
    </row>
    <row r="21" spans="1:19" x14ac:dyDescent="0.3">
      <c r="A21" s="1" t="s">
        <v>2</v>
      </c>
      <c r="B21" s="1" t="s">
        <v>0</v>
      </c>
      <c r="C21" s="1" t="s">
        <v>1</v>
      </c>
      <c r="D21" s="1" t="s">
        <v>3</v>
      </c>
      <c r="E21" s="1" t="s">
        <v>0</v>
      </c>
      <c r="F21" s="1" t="s">
        <v>1</v>
      </c>
      <c r="H21" s="2" t="s">
        <v>136</v>
      </c>
      <c r="I21" s="22" t="s">
        <v>6</v>
      </c>
      <c r="J21" s="3" t="s">
        <v>5</v>
      </c>
      <c r="K21" s="9" t="s">
        <v>4</v>
      </c>
      <c r="L21" s="9" t="s">
        <v>125</v>
      </c>
      <c r="M21" s="2"/>
      <c r="N21" s="1" t="s">
        <v>2</v>
      </c>
      <c r="O21" s="1" t="s">
        <v>0</v>
      </c>
      <c r="P21" s="1" t="s">
        <v>1</v>
      </c>
      <c r="Q21" s="1" t="s">
        <v>3</v>
      </c>
      <c r="R21" s="1" t="s">
        <v>0</v>
      </c>
      <c r="S21" s="1" t="s">
        <v>1</v>
      </c>
    </row>
    <row r="22" spans="1:19" x14ac:dyDescent="0.3">
      <c r="A22" s="11">
        <v>1</v>
      </c>
      <c r="B22" s="2">
        <v>8</v>
      </c>
      <c r="C22" s="16">
        <f>A22*B22</f>
        <v>8</v>
      </c>
      <c r="D22" s="12">
        <v>5</v>
      </c>
      <c r="E22" s="2">
        <v>37</v>
      </c>
      <c r="F22" s="18">
        <f>D22*E22</f>
        <v>185</v>
      </c>
      <c r="G22" s="5"/>
      <c r="H22" s="5" t="s">
        <v>144</v>
      </c>
      <c r="I22" s="23" t="s">
        <v>285</v>
      </c>
      <c r="J22" s="15">
        <v>-900</v>
      </c>
      <c r="K22" s="8">
        <v>10</v>
      </c>
      <c r="L22" s="26">
        <f>Table134567810111213141516171819202122232425262728303132[[#This Row],[الدولار]]+(Table134567810111213141516171819202122232425262728303132[[#This Row],[اللبناني]]/90)</f>
        <v>0</v>
      </c>
      <c r="N22" s="11">
        <v>1</v>
      </c>
      <c r="O22" s="2">
        <v>7</v>
      </c>
      <c r="P22" s="16">
        <f>N22*O22</f>
        <v>7</v>
      </c>
      <c r="Q22" s="12">
        <v>5</v>
      </c>
      <c r="R22" s="2">
        <v>34</v>
      </c>
      <c r="S22" s="18">
        <f>Q22*R22</f>
        <v>170</v>
      </c>
    </row>
    <row r="23" spans="1:19" x14ac:dyDescent="0.3">
      <c r="A23" s="11">
        <v>5</v>
      </c>
      <c r="B23" s="2">
        <v>2</v>
      </c>
      <c r="C23" s="16">
        <f t="shared" ref="C23:C27" si="1">A23*B23</f>
        <v>10</v>
      </c>
      <c r="D23" s="12">
        <v>10</v>
      </c>
      <c r="E23" s="2">
        <v>20</v>
      </c>
      <c r="F23" s="18">
        <f t="shared" ref="F23:F26" si="2">D23*E23</f>
        <v>200</v>
      </c>
      <c r="G23" s="5"/>
      <c r="H23" s="5" t="s">
        <v>144</v>
      </c>
      <c r="I23" s="23" t="s">
        <v>70</v>
      </c>
      <c r="J23" s="15">
        <v>-225</v>
      </c>
      <c r="K23" s="8">
        <v>20</v>
      </c>
      <c r="L23" s="26">
        <f>Table134567810111213141516171819202122232425262728303132[[#This Row],[الدولار]]+(Table134567810111213141516171819202122232425262728303132[[#This Row],[اللبناني]]/90)</f>
        <v>17.5</v>
      </c>
      <c r="N23" s="11">
        <v>5</v>
      </c>
      <c r="O23" s="2">
        <v>2</v>
      </c>
      <c r="P23" s="16">
        <f t="shared" ref="P23:P27" si="3">N23*O23</f>
        <v>10</v>
      </c>
      <c r="Q23" s="12">
        <v>10</v>
      </c>
      <c r="R23" s="2">
        <v>19</v>
      </c>
      <c r="S23" s="18">
        <f t="shared" ref="S23:S26" si="4">Q23*R23</f>
        <v>190</v>
      </c>
    </row>
    <row r="24" spans="1:19" x14ac:dyDescent="0.3">
      <c r="A24" s="11">
        <v>10</v>
      </c>
      <c r="B24" s="2">
        <v>23</v>
      </c>
      <c r="C24" s="16">
        <f t="shared" si="1"/>
        <v>230</v>
      </c>
      <c r="D24" s="12">
        <v>20</v>
      </c>
      <c r="E24" s="2">
        <v>20</v>
      </c>
      <c r="F24" s="18">
        <f t="shared" si="2"/>
        <v>400</v>
      </c>
      <c r="G24" s="5"/>
      <c r="H24" s="5" t="s">
        <v>144</v>
      </c>
      <c r="I24" s="23" t="s">
        <v>61</v>
      </c>
      <c r="J24" s="15">
        <v>940</v>
      </c>
      <c r="L24" s="26">
        <f>Table134567810111213141516171819202122232425262728303132[[#This Row],[الدولار]]+(Table134567810111213141516171819202122232425262728303132[[#This Row],[اللبناني]]/90)</f>
        <v>10.444444444444445</v>
      </c>
      <c r="N24" s="11">
        <v>10</v>
      </c>
      <c r="O24" s="2">
        <v>27</v>
      </c>
      <c r="P24" s="16">
        <f t="shared" si="3"/>
        <v>270</v>
      </c>
      <c r="Q24" s="12">
        <v>20</v>
      </c>
      <c r="R24" s="2">
        <v>26</v>
      </c>
      <c r="S24" s="18">
        <f t="shared" si="4"/>
        <v>520</v>
      </c>
    </row>
    <row r="25" spans="1:19" x14ac:dyDescent="0.3">
      <c r="A25" s="11">
        <v>20</v>
      </c>
      <c r="B25" s="2">
        <v>22</v>
      </c>
      <c r="C25" s="16">
        <f t="shared" si="1"/>
        <v>440</v>
      </c>
      <c r="D25" s="12">
        <v>50</v>
      </c>
      <c r="E25" s="2">
        <v>2</v>
      </c>
      <c r="F25" s="18">
        <f t="shared" si="2"/>
        <v>100</v>
      </c>
      <c r="G25" s="5"/>
      <c r="H25" s="5" t="s">
        <v>145</v>
      </c>
      <c r="I25" s="23" t="s">
        <v>42</v>
      </c>
      <c r="J25" s="15">
        <v>-300</v>
      </c>
      <c r="L25" s="26">
        <f>Table134567810111213141516171819202122232425262728303132[[#This Row],[الدولار]]+(Table134567810111213141516171819202122232425262728303132[[#This Row],[اللبناني]]/90)</f>
        <v>-3.3333333333333335</v>
      </c>
      <c r="N25" s="11">
        <v>20</v>
      </c>
      <c r="O25" s="2">
        <v>24</v>
      </c>
      <c r="P25" s="16">
        <f t="shared" si="3"/>
        <v>480</v>
      </c>
      <c r="Q25" s="12">
        <v>50</v>
      </c>
      <c r="R25" s="2">
        <v>1</v>
      </c>
      <c r="S25" s="18">
        <f t="shared" si="4"/>
        <v>50</v>
      </c>
    </row>
    <row r="26" spans="1:19" x14ac:dyDescent="0.3">
      <c r="A26" s="11">
        <v>50</v>
      </c>
      <c r="B26" s="2">
        <v>1</v>
      </c>
      <c r="C26" s="16">
        <f t="shared" si="1"/>
        <v>50</v>
      </c>
      <c r="D26" s="12">
        <v>100</v>
      </c>
      <c r="E26" s="2">
        <v>70</v>
      </c>
      <c r="F26" s="18">
        <f t="shared" si="2"/>
        <v>7000</v>
      </c>
      <c r="G26" s="5"/>
      <c r="H26" s="5" t="s">
        <v>144</v>
      </c>
      <c r="I26" s="24" t="s">
        <v>286</v>
      </c>
      <c r="J26" s="15">
        <v>18100</v>
      </c>
      <c r="L26" s="26">
        <f>Table134567810111213141516171819202122232425262728303132[[#This Row],[الدولار]]+(Table134567810111213141516171819202122232425262728303132[[#This Row],[اللبناني]]/90)</f>
        <v>201.11111111111111</v>
      </c>
      <c r="N26" s="11">
        <v>50</v>
      </c>
      <c r="O26" s="2">
        <v>7</v>
      </c>
      <c r="P26" s="16">
        <f t="shared" si="3"/>
        <v>350</v>
      </c>
      <c r="Q26" s="12">
        <v>100</v>
      </c>
      <c r="R26" s="2">
        <v>66</v>
      </c>
      <c r="S26" s="18">
        <f t="shared" si="4"/>
        <v>6600</v>
      </c>
    </row>
    <row r="27" spans="1:19" x14ac:dyDescent="0.3">
      <c r="A27" s="11">
        <v>100</v>
      </c>
      <c r="B27" s="2">
        <v>4</v>
      </c>
      <c r="C27" s="16">
        <f t="shared" si="1"/>
        <v>400</v>
      </c>
      <c r="D27" s="1" t="s">
        <v>1</v>
      </c>
      <c r="E27" s="1"/>
      <c r="F27" s="14">
        <f>SUM(F22:F26)</f>
        <v>7885</v>
      </c>
      <c r="G27" s="5"/>
      <c r="H27" s="5" t="s">
        <v>144</v>
      </c>
      <c r="I27" s="23" t="s">
        <v>173</v>
      </c>
      <c r="J27" s="15">
        <v>400</v>
      </c>
      <c r="K27" s="8">
        <v>5</v>
      </c>
      <c r="L27" s="26">
        <f>Table134567810111213141516171819202122232425262728303132[[#This Row],[الدولار]]+(Table134567810111213141516171819202122232425262728303132[[#This Row],[اللبناني]]/90)</f>
        <v>9.4444444444444446</v>
      </c>
      <c r="N27" s="11">
        <v>100</v>
      </c>
      <c r="O27" s="2">
        <v>18</v>
      </c>
      <c r="P27" s="16">
        <f t="shared" si="3"/>
        <v>1800</v>
      </c>
      <c r="Q27" s="1" t="s">
        <v>1</v>
      </c>
      <c r="R27" s="1"/>
      <c r="S27" s="14">
        <f>SUM(S22:S26)</f>
        <v>7530</v>
      </c>
    </row>
    <row r="28" spans="1:19" x14ac:dyDescent="0.3">
      <c r="A28" s="1" t="s">
        <v>1</v>
      </c>
      <c r="B28" s="1"/>
      <c r="C28" s="17">
        <f>SUM(C22:C27)</f>
        <v>1138</v>
      </c>
      <c r="H28" s="5" t="s">
        <v>144</v>
      </c>
      <c r="I28" s="23"/>
      <c r="J28" s="15">
        <v>75</v>
      </c>
      <c r="L28" s="26">
        <f>Table134567810111213141516171819202122232425262728303132[[#This Row],[الدولار]]+(Table134567810111213141516171819202122232425262728303132[[#This Row],[اللبناني]]/90)</f>
        <v>0.83333333333333337</v>
      </c>
      <c r="N28" s="1" t="s">
        <v>1</v>
      </c>
      <c r="O28" s="1"/>
      <c r="P28" s="17">
        <f>SUM(P22:P27)</f>
        <v>2917</v>
      </c>
      <c r="S28" s="15"/>
    </row>
    <row r="29" spans="1:19" x14ac:dyDescent="0.3">
      <c r="B29" s="2">
        <v>0</v>
      </c>
      <c r="C29" s="20"/>
      <c r="D29" s="47" t="s">
        <v>24</v>
      </c>
      <c r="E29" s="47"/>
      <c r="F29" s="19">
        <f ca="1">INDIRECT("'"&amp;$A$19&amp;"'!J20")+J1</f>
        <v>815</v>
      </c>
      <c r="H29" s="5" t="s">
        <v>146</v>
      </c>
      <c r="I29" s="23" t="s">
        <v>259</v>
      </c>
      <c r="J29" s="15">
        <v>-20000</v>
      </c>
      <c r="L29" s="26">
        <f>Table134567810111213141516171819202122232425262728303132[[#This Row],[الدولار]]+(Table134567810111213141516171819202122232425262728303132[[#This Row],[اللبناني]]/90)</f>
        <v>-222.22222222222223</v>
      </c>
      <c r="P29" s="20"/>
      <c r="Q29" s="47" t="s">
        <v>24</v>
      </c>
      <c r="R29" s="47"/>
      <c r="S29" s="19">
        <f>SUM(Table134567810111213141516171819202122232425262728303132[اللبناني])</f>
        <v>-1290</v>
      </c>
    </row>
    <row r="30" spans="1:19" x14ac:dyDescent="0.3">
      <c r="A30" s="47" t="s">
        <v>23</v>
      </c>
      <c r="B30" s="47"/>
      <c r="C30" s="9">
        <f ca="1">INDIRECT("'"&amp;$A$19&amp;"'!K20")+K1</f>
        <v>-6001</v>
      </c>
      <c r="F30" s="15"/>
      <c r="H30" s="5" t="s">
        <v>144</v>
      </c>
      <c r="I30" s="23" t="s">
        <v>103</v>
      </c>
      <c r="J30" s="15">
        <v>200</v>
      </c>
      <c r="L30" s="26">
        <f>Table134567810111213141516171819202122232425262728303132[[#This Row],[الدولار]]+(Table134567810111213141516171819202122232425262728303132[[#This Row],[اللبناني]]/90)</f>
        <v>2.2222222222222223</v>
      </c>
      <c r="N30" s="47" t="s">
        <v>23</v>
      </c>
      <c r="O30" s="47"/>
      <c r="P30" s="9">
        <f>SUM(Table134567810111213141516171819202122232425262728303132[الدولار])</f>
        <v>-94</v>
      </c>
      <c r="S30" s="15"/>
    </row>
    <row r="31" spans="1:19" x14ac:dyDescent="0.3">
      <c r="C31" s="20"/>
      <c r="D31" s="1" t="s">
        <v>17</v>
      </c>
      <c r="E31" s="1"/>
      <c r="F31" s="19">
        <f ca="1">F27-F29-INDIRECT("'"&amp;$A$19&amp;"'!f27")</f>
        <v>0</v>
      </c>
      <c r="H31" s="5" t="s">
        <v>144</v>
      </c>
      <c r="I31" s="23" t="s">
        <v>71</v>
      </c>
      <c r="J31" s="15"/>
      <c r="K31" s="8">
        <v>10</v>
      </c>
      <c r="L31" s="26">
        <f>Table134567810111213141516171819202122232425262728303132[[#This Row],[الدولار]]+(Table134567810111213141516171819202122232425262728303132[[#This Row],[اللبناني]]/90)</f>
        <v>10</v>
      </c>
      <c r="P31" s="20"/>
      <c r="Q31" s="1" t="s">
        <v>17</v>
      </c>
      <c r="R31" s="1"/>
      <c r="S31" s="19">
        <f>S27-S29-F27</f>
        <v>935</v>
      </c>
    </row>
    <row r="32" spans="1:19" x14ac:dyDescent="0.3">
      <c r="A32" s="1" t="s">
        <v>17</v>
      </c>
      <c r="B32" s="1"/>
      <c r="C32" s="9">
        <f ca="1">C28-C30-INDIRECT("'"&amp;$A$19&amp;"'!c28")</f>
        <v>0</v>
      </c>
      <c r="H32" s="5" t="s">
        <v>144</v>
      </c>
      <c r="I32" s="23" t="s">
        <v>71</v>
      </c>
      <c r="J32" s="15">
        <v>-180</v>
      </c>
      <c r="K32" s="8">
        <v>10</v>
      </c>
      <c r="L32" s="26">
        <f>Table134567810111213141516171819202122232425262728303132[[#This Row],[الدولار]]+(Table134567810111213141516171819202122232425262728303132[[#This Row],[اللبناني]]/90)</f>
        <v>8</v>
      </c>
      <c r="N32" s="1" t="s">
        <v>17</v>
      </c>
      <c r="O32" s="1"/>
      <c r="P32" s="9">
        <f>P28-P30-C28</f>
        <v>1873</v>
      </c>
    </row>
    <row r="33" spans="3:13" x14ac:dyDescent="0.3">
      <c r="C33" s="10"/>
      <c r="D33" s="10"/>
      <c r="F33" s="10"/>
      <c r="H33" s="5" t="s">
        <v>144</v>
      </c>
      <c r="I33" s="25" t="s">
        <v>41</v>
      </c>
      <c r="J33" s="13"/>
      <c r="K33" s="8">
        <v>90</v>
      </c>
      <c r="L33" s="26">
        <f>Table134567810111213141516171819202122232425262728303132[[#This Row],[الدولار]]+(Table134567810111213141516171819202122232425262728303132[[#This Row],[اللبناني]]/90)</f>
        <v>90</v>
      </c>
    </row>
    <row r="34" spans="3:13" x14ac:dyDescent="0.3">
      <c r="C34" s="10"/>
      <c r="D34" s="10"/>
      <c r="F34" s="10"/>
      <c r="H34" s="5" t="s">
        <v>144</v>
      </c>
      <c r="I34" s="25" t="s">
        <v>104</v>
      </c>
      <c r="J34" s="13">
        <v>50</v>
      </c>
      <c r="K34" s="8">
        <v>10</v>
      </c>
      <c r="L34" s="26">
        <f>Table134567810111213141516171819202122232425262728303132[[#This Row],[الدولار]]+(Table134567810111213141516171819202122232425262728303132[[#This Row],[اللبناني]]/90)</f>
        <v>10.555555555555555</v>
      </c>
    </row>
    <row r="35" spans="3:13" x14ac:dyDescent="0.3">
      <c r="C35" s="10"/>
      <c r="D35" s="10"/>
      <c r="F35" s="10"/>
      <c r="H35" s="5" t="s">
        <v>144</v>
      </c>
      <c r="I35" s="23" t="s">
        <v>282</v>
      </c>
      <c r="J35" s="13"/>
      <c r="K35" s="8">
        <v>34</v>
      </c>
      <c r="L35" s="26">
        <f>Table134567810111213141516171819202122232425262728303132[[#This Row],[الدولار]]+(Table134567810111213141516171819202122232425262728303132[[#This Row],[اللبناني]]/90)</f>
        <v>34</v>
      </c>
    </row>
    <row r="36" spans="3:13" s="8" customFormat="1" x14ac:dyDescent="0.3">
      <c r="C36" s="10"/>
      <c r="D36" s="10"/>
      <c r="E36" s="2"/>
      <c r="F36" s="10"/>
      <c r="G36" s="2"/>
      <c r="H36" s="5" t="s">
        <v>144</v>
      </c>
      <c r="I36" s="25" t="s">
        <v>61</v>
      </c>
      <c r="J36" s="15"/>
      <c r="K36" s="8">
        <v>130</v>
      </c>
      <c r="L36" s="26">
        <f>Table134567810111213141516171819202122232425262728303132[[#This Row],[الدولار]]+(Table134567810111213141516171819202122232425262728303132[[#This Row],[اللبناني]]/90)</f>
        <v>130</v>
      </c>
      <c r="M36" s="6"/>
    </row>
    <row r="37" spans="3:13" s="8" customFormat="1" x14ac:dyDescent="0.3">
      <c r="C37" s="10"/>
      <c r="D37" s="2"/>
      <c r="E37" s="2"/>
      <c r="F37" s="10"/>
      <c r="G37" s="2"/>
      <c r="H37" s="5" t="s">
        <v>144</v>
      </c>
      <c r="I37" s="25" t="s">
        <v>287</v>
      </c>
      <c r="J37" s="15">
        <v>500</v>
      </c>
      <c r="L37" s="26">
        <f>Table134567810111213141516171819202122232425262728303132[[#This Row],[الدولار]]+(Table134567810111213141516171819202122232425262728303132[[#This Row],[اللبناني]]/90)</f>
        <v>5.5555555555555554</v>
      </c>
      <c r="M37" s="6"/>
    </row>
    <row r="38" spans="3:13" s="8" customFormat="1" x14ac:dyDescent="0.3">
      <c r="C38" s="10"/>
      <c r="D38" s="2"/>
      <c r="E38" s="2"/>
      <c r="F38" s="2"/>
      <c r="G38" s="2"/>
      <c r="H38" s="5" t="s">
        <v>144</v>
      </c>
      <c r="I38" s="25" t="s">
        <v>72</v>
      </c>
      <c r="J38" s="15">
        <v>150</v>
      </c>
      <c r="L38" s="26">
        <f>Table134567810111213141516171819202122232425262728303132[[#This Row],[الدولار]]+(Table134567810111213141516171819202122232425262728303132[[#This Row],[اللبناني]]/90)</f>
        <v>1.6666666666666667</v>
      </c>
      <c r="M38" s="6"/>
    </row>
    <row r="39" spans="3:13" s="8" customFormat="1" x14ac:dyDescent="0.3">
      <c r="C39" s="2"/>
      <c r="D39" s="2"/>
      <c r="E39" s="2"/>
      <c r="F39" s="6"/>
      <c r="G39" s="2"/>
      <c r="H39" s="5" t="s">
        <v>144</v>
      </c>
      <c r="I39" s="23" t="s">
        <v>288</v>
      </c>
      <c r="J39" s="15">
        <v>-270</v>
      </c>
      <c r="K39" s="8">
        <v>40</v>
      </c>
      <c r="L39" s="26">
        <f>Table134567810111213141516171819202122232425262728303132[[#This Row],[الدولار]]+(Table134567810111213141516171819202122232425262728303132[[#This Row],[اللبناني]]/90)</f>
        <v>37</v>
      </c>
      <c r="M39" s="6"/>
    </row>
    <row r="40" spans="3:13" s="8" customFormat="1" x14ac:dyDescent="0.3">
      <c r="C40" s="6"/>
      <c r="D40" s="2"/>
      <c r="E40" s="2"/>
      <c r="F40" s="2"/>
      <c r="G40" s="2"/>
      <c r="H40" s="5" t="s">
        <v>144</v>
      </c>
      <c r="I40" s="23" t="s">
        <v>289</v>
      </c>
      <c r="J40" s="15">
        <v>70</v>
      </c>
      <c r="L40" s="26">
        <f>Table134567810111213141516171819202122232425262728303132[[#This Row],[الدولار]]+(Table134567810111213141516171819202122232425262728303132[[#This Row],[اللبناني]]/90)</f>
        <v>0.77777777777777779</v>
      </c>
      <c r="M40" s="6"/>
    </row>
    <row r="41" spans="3:13" s="8" customFormat="1" x14ac:dyDescent="0.3">
      <c r="C41" s="2"/>
      <c r="D41" s="2"/>
      <c r="E41" s="2"/>
      <c r="F41" s="6"/>
      <c r="G41" s="2"/>
      <c r="H41" s="5" t="s">
        <v>144</v>
      </c>
      <c r="I41" s="23" t="s">
        <v>200</v>
      </c>
      <c r="J41" s="15">
        <v>250</v>
      </c>
      <c r="L41" s="26">
        <f>Table134567810111213141516171819202122232425262728303132[[#This Row],[الدولار]]+(Table134567810111213141516171819202122232425262728303132[[#This Row],[اللبناني]]/90)</f>
        <v>2.7777777777777777</v>
      </c>
      <c r="M41" s="6"/>
    </row>
    <row r="42" spans="3:13" s="8" customFormat="1" x14ac:dyDescent="0.3">
      <c r="C42" s="6"/>
      <c r="D42" s="2"/>
      <c r="E42" s="2"/>
      <c r="F42" s="2"/>
      <c r="G42" s="2"/>
      <c r="H42" s="5" t="s">
        <v>144</v>
      </c>
      <c r="I42" s="23" t="s">
        <v>289</v>
      </c>
      <c r="J42" s="15">
        <v>70</v>
      </c>
      <c r="L42" s="26">
        <f>Table134567810111213141516171819202122232425262728303132[[#This Row],[الدولار]]+(Table134567810111213141516171819202122232425262728303132[[#This Row],[اللبناني]]/90)</f>
        <v>0.77777777777777779</v>
      </c>
      <c r="M42" s="6"/>
    </row>
    <row r="43" spans="3:13" s="8" customFormat="1" x14ac:dyDescent="0.3">
      <c r="C43" s="2"/>
      <c r="D43" s="2"/>
      <c r="E43" s="2"/>
      <c r="F43" s="2"/>
      <c r="G43" s="2"/>
      <c r="H43" s="5" t="s">
        <v>144</v>
      </c>
      <c r="I43" s="23" t="s">
        <v>290</v>
      </c>
      <c r="J43" s="15"/>
      <c r="K43" s="8">
        <v>107</v>
      </c>
      <c r="L43" s="26">
        <f>Table134567810111213141516171819202122232425262728303132[[#This Row],[الدولار]]+(Table134567810111213141516171819202122232425262728303132[[#This Row],[اللبناني]]/90)</f>
        <v>107</v>
      </c>
      <c r="M43" s="6"/>
    </row>
    <row r="44" spans="3:13" s="8" customFormat="1" x14ac:dyDescent="0.3">
      <c r="C44" s="2"/>
      <c r="D44" s="2"/>
      <c r="E44" s="2"/>
      <c r="F44" s="2"/>
      <c r="G44" s="2"/>
      <c r="H44" s="5" t="s">
        <v>144</v>
      </c>
      <c r="I44" s="23"/>
      <c r="J44" s="15">
        <v>100</v>
      </c>
      <c r="L44" s="26">
        <f>Table134567810111213141516171819202122232425262728303132[[#This Row],[الدولار]]+(Table134567810111213141516171819202122232425262728303132[[#This Row],[اللبناني]]/90)</f>
        <v>1.1111111111111112</v>
      </c>
      <c r="M44" s="6"/>
    </row>
    <row r="45" spans="3:13" s="8" customFormat="1" x14ac:dyDescent="0.3">
      <c r="C45" s="2"/>
      <c r="D45" s="2"/>
      <c r="E45" s="2"/>
      <c r="F45" s="2"/>
      <c r="G45" s="2"/>
      <c r="H45" s="5" t="s">
        <v>144</v>
      </c>
      <c r="I45" s="23" t="s">
        <v>291</v>
      </c>
      <c r="J45" s="15"/>
      <c r="K45" s="8">
        <v>3</v>
      </c>
      <c r="L45" s="26">
        <f>Table134567810111213141516171819202122232425262728303132[[#This Row],[الدولار]]+(Table134567810111213141516171819202122232425262728303132[[#This Row],[اللبناني]]/90)</f>
        <v>3</v>
      </c>
      <c r="M45" s="6"/>
    </row>
    <row r="46" spans="3:13" s="8" customFormat="1" x14ac:dyDescent="0.3">
      <c r="C46" s="2"/>
      <c r="D46" s="2"/>
      <c r="E46" s="2"/>
      <c r="F46" s="2"/>
      <c r="G46" s="2"/>
      <c r="H46" s="5" t="s">
        <v>144</v>
      </c>
      <c r="I46" s="23"/>
      <c r="J46" s="13">
        <v>350</v>
      </c>
      <c r="L46" s="26">
        <f>Table134567810111213141516171819202122232425262728303132[[#This Row],[الدولار]]+(Table134567810111213141516171819202122232425262728303132[[#This Row],[اللبناني]]/90)</f>
        <v>3.8888888888888888</v>
      </c>
      <c r="M46" s="6"/>
    </row>
    <row r="47" spans="3:13" s="8" customFormat="1" x14ac:dyDescent="0.3">
      <c r="C47" s="2"/>
      <c r="D47" s="2"/>
      <c r="E47" s="2"/>
      <c r="F47" s="2"/>
      <c r="G47" s="2"/>
      <c r="H47" s="5" t="s">
        <v>144</v>
      </c>
      <c r="I47" s="21"/>
      <c r="J47" s="13">
        <v>50</v>
      </c>
      <c r="L47" s="26">
        <f>Table134567810111213141516171819202122232425262728303132[[#This Row],[الدولار]]+(Table134567810111213141516171819202122232425262728303132[[#This Row],[اللبناني]]/90)</f>
        <v>0.55555555555555558</v>
      </c>
      <c r="M47" s="6"/>
    </row>
    <row r="48" spans="3:13" s="8" customFormat="1" x14ac:dyDescent="0.3">
      <c r="C48" s="2"/>
      <c r="D48" s="2"/>
      <c r="E48" s="2"/>
      <c r="F48" s="2"/>
      <c r="G48" s="2"/>
      <c r="H48" s="5" t="s">
        <v>144</v>
      </c>
      <c r="I48" s="21"/>
      <c r="J48" s="13"/>
      <c r="K48" s="8">
        <v>60</v>
      </c>
      <c r="L48" s="26">
        <f>Table134567810111213141516171819202122232425262728303132[[#This Row],[الدولار]]+(Table134567810111213141516171819202122232425262728303132[[#This Row],[اللبناني]]/90)</f>
        <v>60</v>
      </c>
      <c r="M48" s="6"/>
    </row>
    <row r="49" spans="3:19" s="8" customFormat="1" x14ac:dyDescent="0.3">
      <c r="C49" s="2"/>
      <c r="D49" s="2"/>
      <c r="E49" s="2"/>
      <c r="F49" s="2"/>
      <c r="G49" s="2"/>
      <c r="H49" s="5" t="s">
        <v>144</v>
      </c>
      <c r="I49" s="21" t="s">
        <v>293</v>
      </c>
      <c r="J49" s="13"/>
      <c r="K49" s="8">
        <v>110</v>
      </c>
      <c r="L49" s="26">
        <f>Table134567810111213141516171819202122232425262728303132[[#This Row],[الدولار]]+(Table134567810111213141516171819202122232425262728303132[[#This Row],[اللبناني]]/90)</f>
        <v>110</v>
      </c>
      <c r="M49" s="6"/>
      <c r="S49" s="14"/>
    </row>
    <row r="50" spans="3:19" s="8" customFormat="1" x14ac:dyDescent="0.3">
      <c r="C50" s="2"/>
      <c r="D50" s="2"/>
      <c r="E50" s="2"/>
      <c r="F50" s="2"/>
      <c r="G50" s="2"/>
      <c r="H50" s="5" t="s">
        <v>144</v>
      </c>
      <c r="I50" s="21" t="s">
        <v>294</v>
      </c>
      <c r="J50" s="13"/>
      <c r="K50" s="8">
        <v>80</v>
      </c>
      <c r="L50" s="26">
        <f>Table134567810111213141516171819202122232425262728303132[[#This Row],[الدولار]]+(Table134567810111213141516171819202122232425262728303132[[#This Row],[اللبناني]]/90)</f>
        <v>80</v>
      </c>
      <c r="M50" s="6"/>
    </row>
    <row r="51" spans="3:19" s="8" customFormat="1" x14ac:dyDescent="0.3">
      <c r="C51" s="2"/>
      <c r="D51" s="2"/>
      <c r="E51" s="2"/>
      <c r="F51" s="2"/>
      <c r="G51" s="2"/>
      <c r="H51" s="5" t="s">
        <v>144</v>
      </c>
      <c r="I51" s="21" t="s">
        <v>104</v>
      </c>
      <c r="J51" s="13">
        <v>60</v>
      </c>
      <c r="L51" s="26">
        <f>Table134567810111213141516171819202122232425262728303132[[#This Row],[الدولار]]+(Table134567810111213141516171819202122232425262728303132[[#This Row],[اللبناني]]/90)</f>
        <v>0.66666666666666663</v>
      </c>
      <c r="M51" s="6"/>
    </row>
    <row r="52" spans="3:19" s="8" customFormat="1" x14ac:dyDescent="0.3">
      <c r="H52" s="5" t="s">
        <v>144</v>
      </c>
      <c r="I52" s="21" t="s">
        <v>295</v>
      </c>
      <c r="J52" s="13"/>
      <c r="K52" s="8">
        <v>63</v>
      </c>
      <c r="L52" s="26">
        <f>Table134567810111213141516171819202122232425262728303132[[#This Row],[الدولار]]+(Table134567810111213141516171819202122232425262728303132[[#This Row],[اللبناني]]/90)</f>
        <v>63</v>
      </c>
      <c r="M52" s="6"/>
    </row>
    <row r="53" spans="3:19" s="8" customFormat="1" x14ac:dyDescent="0.3">
      <c r="H53" s="5" t="s">
        <v>144</v>
      </c>
      <c r="I53" s="21" t="s">
        <v>26</v>
      </c>
      <c r="J53" s="13"/>
      <c r="K53" s="8">
        <v>25</v>
      </c>
      <c r="L53" s="26">
        <f>Table134567810111213141516171819202122232425262728303132[[#This Row],[الدولار]]+(Table134567810111213141516171819202122232425262728303132[[#This Row],[اللبناني]]/90)</f>
        <v>25</v>
      </c>
      <c r="M53" s="6"/>
    </row>
    <row r="54" spans="3:19" s="8" customFormat="1" x14ac:dyDescent="0.3">
      <c r="H54" s="5" t="s">
        <v>144</v>
      </c>
      <c r="I54" s="21" t="s">
        <v>296</v>
      </c>
      <c r="J54" s="13"/>
      <c r="K54" s="8">
        <v>500</v>
      </c>
      <c r="L54" s="26">
        <f>Table134567810111213141516171819202122232425262728303132[[#This Row],[الدولار]]+(Table134567810111213141516171819202122232425262728303132[[#This Row],[اللبناني]]/90)</f>
        <v>500</v>
      </c>
      <c r="M54" s="6"/>
    </row>
    <row r="55" spans="3:19" s="8" customFormat="1" x14ac:dyDescent="0.3">
      <c r="H55" s="5" t="s">
        <v>144</v>
      </c>
      <c r="I55" s="21" t="s">
        <v>58</v>
      </c>
      <c r="J55" s="13">
        <v>630</v>
      </c>
      <c r="L55" s="26">
        <f>Table134567810111213141516171819202122232425262728303132[[#This Row],[الدولار]]+(Table134567810111213141516171819202122232425262728303132[[#This Row],[اللبناني]]/90)</f>
        <v>7</v>
      </c>
      <c r="M55" s="6"/>
    </row>
    <row r="56" spans="3:19" s="8" customFormat="1" x14ac:dyDescent="0.3">
      <c r="H56" s="5" t="s">
        <v>144</v>
      </c>
      <c r="I56" s="21"/>
      <c r="J56" s="13">
        <v>50</v>
      </c>
      <c r="L56" s="26">
        <f>Table134567810111213141516171819202122232425262728303132[[#This Row],[الدولار]]+(Table134567810111213141516171819202122232425262728303132[[#This Row],[اللبناني]]/90)</f>
        <v>0.55555555555555558</v>
      </c>
      <c r="M56" s="6"/>
    </row>
    <row r="57" spans="3:19" s="8" customFormat="1" x14ac:dyDescent="0.3">
      <c r="H57" s="5" t="s">
        <v>144</v>
      </c>
      <c r="I57" s="21" t="s">
        <v>297</v>
      </c>
      <c r="J57" s="13"/>
      <c r="K57" s="8">
        <v>400</v>
      </c>
      <c r="L57" s="26">
        <f>Table134567810111213141516171819202122232425262728303132[[#This Row],[الدولار]]+(Table134567810111213141516171819202122232425262728303132[[#This Row],[اللبناني]]/90)</f>
        <v>400</v>
      </c>
      <c r="M57" s="6"/>
      <c r="N57" s="8" t="s">
        <v>57</v>
      </c>
      <c r="P57" s="17">
        <v>2856</v>
      </c>
      <c r="S57" s="14">
        <v>8155</v>
      </c>
    </row>
    <row r="58" spans="3:19" s="8" customFormat="1" x14ac:dyDescent="0.3">
      <c r="H58" s="5" t="s">
        <v>144</v>
      </c>
      <c r="I58" s="21" t="s">
        <v>139</v>
      </c>
      <c r="J58" s="13">
        <v>100</v>
      </c>
      <c r="K58" s="8">
        <v>11</v>
      </c>
      <c r="L58" s="26">
        <f>Table134567810111213141516171819202122232425262728303132[[#This Row],[الدولار]]+(Table134567810111213141516171819202122232425262728303132[[#This Row],[اللبناني]]/90)</f>
        <v>12.111111111111111</v>
      </c>
      <c r="M58" s="6"/>
      <c r="P58" s="17"/>
      <c r="S58" s="14"/>
    </row>
    <row r="59" spans="3:19" s="8" customFormat="1" x14ac:dyDescent="0.3">
      <c r="H59" s="5" t="s">
        <v>144</v>
      </c>
      <c r="I59" s="21"/>
      <c r="J59" s="13">
        <v>-500</v>
      </c>
      <c r="K59" s="8">
        <v>10</v>
      </c>
      <c r="L59" s="26">
        <f>Table134567810111213141516171819202122232425262728303132[[#This Row],[الدولار]]+(Table134567810111213141516171819202122232425262728303132[[#This Row],[اللبناني]]/90)</f>
        <v>4.4444444444444446</v>
      </c>
      <c r="M59" s="6"/>
    </row>
    <row r="60" spans="3:19" s="8" customFormat="1" x14ac:dyDescent="0.3">
      <c r="H60" s="5" t="s">
        <v>144</v>
      </c>
      <c r="I60" s="21" t="s">
        <v>298</v>
      </c>
      <c r="J60" s="13">
        <v>150</v>
      </c>
      <c r="L60" s="26">
        <f>Table134567810111213141516171819202122232425262728303132[[#This Row],[الدولار]]+(Table134567810111213141516171819202122232425262728303132[[#This Row],[اللبناني]]/90)</f>
        <v>1.6666666666666667</v>
      </c>
      <c r="M60" s="6"/>
    </row>
    <row r="61" spans="3:19" s="8" customFormat="1" x14ac:dyDescent="0.3">
      <c r="H61" s="5" t="s">
        <v>144</v>
      </c>
      <c r="I61" s="21"/>
      <c r="J61" s="13">
        <v>10</v>
      </c>
      <c r="K61" s="8">
        <v>1</v>
      </c>
      <c r="L61" s="26">
        <f>Table134567810111213141516171819202122232425262728303132[[#This Row],[الدولار]]+(Table134567810111213141516171819202122232425262728303132[[#This Row],[اللبناني]]/90)</f>
        <v>1.1111111111111112</v>
      </c>
      <c r="M61" s="6"/>
    </row>
    <row r="62" spans="3:19" s="8" customFormat="1" x14ac:dyDescent="0.3">
      <c r="H62" s="5" t="s">
        <v>144</v>
      </c>
      <c r="I62" s="21" t="s">
        <v>295</v>
      </c>
      <c r="J62" s="13">
        <v>-135</v>
      </c>
      <c r="K62" s="8">
        <v>45</v>
      </c>
      <c r="L62" s="26">
        <f>Table134567810111213141516171819202122232425262728303132[[#This Row],[الدولار]]+(Table134567810111213141516171819202122232425262728303132[[#This Row],[اللبناني]]/90)</f>
        <v>43.5</v>
      </c>
      <c r="M62" s="6"/>
    </row>
    <row r="63" spans="3:19" s="8" customFormat="1" x14ac:dyDescent="0.3">
      <c r="H63" s="5" t="s">
        <v>144</v>
      </c>
      <c r="I63" s="21" t="s">
        <v>299</v>
      </c>
      <c r="J63" s="13">
        <v>-150</v>
      </c>
      <c r="K63" s="8">
        <v>5</v>
      </c>
      <c r="L63" s="26">
        <f>Table134567810111213141516171819202122232425262728303132[[#This Row],[الدولار]]+(Table134567810111213141516171819202122232425262728303132[[#This Row],[اللبناني]]/90)</f>
        <v>3.333333333333333</v>
      </c>
      <c r="M63" s="6"/>
      <c r="N63" s="8" t="s">
        <v>57</v>
      </c>
      <c r="P63" s="17">
        <v>2917</v>
      </c>
      <c r="S63" s="14">
        <v>7530</v>
      </c>
    </row>
    <row r="64" spans="3:19" s="8" customFormat="1" x14ac:dyDescent="0.3">
      <c r="H64" s="5" t="s">
        <v>144</v>
      </c>
      <c r="I64" s="21"/>
      <c r="J64" s="13">
        <v>100</v>
      </c>
      <c r="K64" s="8">
        <v>21</v>
      </c>
      <c r="L64" s="26">
        <f>Table134567810111213141516171819202122232425262728303132[[#This Row],[الدولار]]+(Table134567810111213141516171819202122232425262728303132[[#This Row],[اللبناني]]/90)</f>
        <v>22.111111111111111</v>
      </c>
      <c r="M64" s="6"/>
      <c r="P64" s="17"/>
      <c r="S64" s="14"/>
    </row>
    <row r="65" spans="4:19" s="8" customFormat="1" x14ac:dyDescent="0.3">
      <c r="D65" s="36"/>
      <c r="H65" s="5" t="s">
        <v>144</v>
      </c>
      <c r="I65" s="21"/>
      <c r="J65" s="32">
        <v>600</v>
      </c>
      <c r="K65" s="33"/>
      <c r="L65" s="26">
        <f>Table134567810111213141516171819202122232425262728303132[[#This Row],[الدولار]]+(Table134567810111213141516171819202122232425262728303132[[#This Row],[اللبناني]]/90)</f>
        <v>6.666666666666667</v>
      </c>
      <c r="M65" s="6"/>
      <c r="P65" s="17"/>
      <c r="S65" s="14"/>
    </row>
    <row r="66" spans="4:19" s="8" customFormat="1" x14ac:dyDescent="0.3">
      <c r="D66" s="36"/>
      <c r="H66" s="5" t="s">
        <v>144</v>
      </c>
      <c r="I66" s="21"/>
      <c r="J66" s="34">
        <v>325</v>
      </c>
      <c r="K66" s="35"/>
      <c r="L66" s="26">
        <f>Table134567810111213141516171819202122232425262728303132[[#This Row],[الدولار]]+(Table134567810111213141516171819202122232425262728303132[[#This Row],[اللبناني]]/90)</f>
        <v>3.6111111111111112</v>
      </c>
      <c r="M66" s="6"/>
    </row>
    <row r="67" spans="4:19" s="8" customFormat="1" x14ac:dyDescent="0.3">
      <c r="D67" s="36"/>
      <c r="H67" s="5" t="s">
        <v>144</v>
      </c>
      <c r="I67" s="21"/>
      <c r="J67" s="32"/>
      <c r="K67" s="33">
        <v>10</v>
      </c>
      <c r="L67" s="26">
        <f>Table134567810111213141516171819202122232425262728303132[[#This Row],[الدولار]]+(Table134567810111213141516171819202122232425262728303132[[#This Row],[اللبناني]]/90)</f>
        <v>10</v>
      </c>
      <c r="M67" s="6"/>
    </row>
    <row r="68" spans="4:19" s="8" customFormat="1" x14ac:dyDescent="0.3">
      <c r="D68" s="36"/>
      <c r="H68" s="5" t="s">
        <v>144</v>
      </c>
      <c r="I68" s="21"/>
      <c r="J68" s="34">
        <v>-550</v>
      </c>
      <c r="K68" s="35">
        <v>10</v>
      </c>
      <c r="L68" s="26">
        <f>Table134567810111213141516171819202122232425262728303132[[#This Row],[الدولار]]+(Table134567810111213141516171819202122232425262728303132[[#This Row],[اللبناني]]/90)</f>
        <v>3.8888888888888893</v>
      </c>
      <c r="M68" s="6"/>
    </row>
    <row r="69" spans="4:19" s="8" customFormat="1" x14ac:dyDescent="0.3">
      <c r="D69" s="36"/>
      <c r="H69" s="5" t="s">
        <v>144</v>
      </c>
      <c r="I69" s="21"/>
      <c r="J69" s="32">
        <v>100</v>
      </c>
      <c r="K69" s="33">
        <v>75</v>
      </c>
      <c r="L69" s="26">
        <f>Table134567810111213141516171819202122232425262728303132[[#This Row],[الدولار]]+(Table134567810111213141516171819202122232425262728303132[[#This Row],[اللبناني]]/90)</f>
        <v>76.111111111111114</v>
      </c>
      <c r="M69" s="6"/>
    </row>
    <row r="70" spans="4:19" s="8" customFormat="1" x14ac:dyDescent="0.3">
      <c r="H70" s="5" t="s">
        <v>144</v>
      </c>
      <c r="I70" s="21"/>
      <c r="J70" s="13">
        <v>100</v>
      </c>
      <c r="K70" s="8">
        <v>5</v>
      </c>
      <c r="L70" s="26">
        <f>Table134567810111213141516171819202122232425262728303132[[#This Row],[الدولار]]+(Table134567810111213141516171819202122232425262728303132[[#This Row],[اللبناني]]/90)</f>
        <v>6.1111111111111107</v>
      </c>
      <c r="M70" s="6"/>
    </row>
    <row r="71" spans="4:19" s="8" customFormat="1" x14ac:dyDescent="0.3">
      <c r="H71" s="5" t="s">
        <v>144</v>
      </c>
      <c r="I71" s="21"/>
      <c r="J71" s="13">
        <v>-200</v>
      </c>
      <c r="L71" s="26">
        <f>Table134567810111213141516171819202122232425262728303132[[#This Row],[الدولار]]+(Table134567810111213141516171819202122232425262728303132[[#This Row],[اللبناني]]/90)</f>
        <v>-2.2222222222222223</v>
      </c>
      <c r="M71" s="6"/>
    </row>
    <row r="72" spans="4:19" s="8" customFormat="1" x14ac:dyDescent="0.3">
      <c r="H72" s="5" t="s">
        <v>144</v>
      </c>
      <c r="I72" s="21"/>
      <c r="J72" s="13"/>
      <c r="K72" s="8">
        <v>3000</v>
      </c>
      <c r="L72" s="26">
        <f>Table134567810111213141516171819202122232425262728303132[[#This Row],[الدولار]]+(Table134567810111213141516171819202122232425262728303132[[#This Row],[اللبناني]]/90)</f>
        <v>3000</v>
      </c>
      <c r="M72" s="6"/>
    </row>
    <row r="73" spans="4:19" s="8" customFormat="1" x14ac:dyDescent="0.3">
      <c r="H73" s="5" t="s">
        <v>144</v>
      </c>
      <c r="I73" s="21"/>
      <c r="J73" s="13">
        <v>-500</v>
      </c>
      <c r="K73" s="8">
        <v>20</v>
      </c>
      <c r="L73" s="26">
        <f>Table134567810111213141516171819202122232425262728303132[[#This Row],[الدولار]]+(Table134567810111213141516171819202122232425262728303132[[#This Row],[اللبناني]]/90)</f>
        <v>14.444444444444445</v>
      </c>
      <c r="M73" s="6"/>
    </row>
    <row r="74" spans="4:19" s="8" customFormat="1" x14ac:dyDescent="0.3">
      <c r="H74" s="5" t="s">
        <v>144</v>
      </c>
      <c r="I74" s="21"/>
      <c r="J74" s="13"/>
      <c r="K74" s="8">
        <v>10</v>
      </c>
      <c r="L74" s="26">
        <f>Table134567810111213141516171819202122232425262728303132[[#This Row],[الدولار]]+(Table134567810111213141516171819202122232425262728303132[[#This Row],[اللبناني]]/90)</f>
        <v>10</v>
      </c>
      <c r="M74" s="6"/>
    </row>
    <row r="75" spans="4:19" s="8" customFormat="1" x14ac:dyDescent="0.3">
      <c r="H75" s="5" t="s">
        <v>144</v>
      </c>
      <c r="I75" s="21"/>
      <c r="J75" s="13">
        <v>-125</v>
      </c>
      <c r="K75" s="8">
        <v>5</v>
      </c>
      <c r="L75" s="26">
        <f>Table134567810111213141516171819202122232425262728303132[[#This Row],[الدولار]]+(Table134567810111213141516171819202122232425262728303132[[#This Row],[اللبناني]]/90)</f>
        <v>3.6111111111111112</v>
      </c>
      <c r="M75" s="6"/>
    </row>
    <row r="76" spans="4:19" s="8" customFormat="1" x14ac:dyDescent="0.3">
      <c r="H76" s="5" t="s">
        <v>144</v>
      </c>
      <c r="I76" s="21"/>
      <c r="J76" s="13"/>
      <c r="K76" s="8">
        <v>10</v>
      </c>
      <c r="L76" s="26">
        <f>Table134567810111213141516171819202122232425262728303132[[#This Row],[الدولار]]+(Table134567810111213141516171819202122232425262728303132[[#This Row],[اللبناني]]/90)</f>
        <v>10</v>
      </c>
      <c r="M76" s="6"/>
    </row>
    <row r="77" spans="4:19" s="8" customFormat="1" x14ac:dyDescent="0.3">
      <c r="H77" s="5" t="s">
        <v>144</v>
      </c>
      <c r="I77" s="21"/>
      <c r="J77" s="13">
        <v>-200</v>
      </c>
      <c r="K77" s="8">
        <v>10</v>
      </c>
      <c r="L77" s="26">
        <f>Table134567810111213141516171819202122232425262728303132[[#This Row],[الدولار]]+(Table134567810111213141516171819202122232425262728303132[[#This Row],[اللبناني]]/90)</f>
        <v>7.7777777777777777</v>
      </c>
      <c r="M77" s="6"/>
    </row>
    <row r="78" spans="4:19" s="8" customFormat="1" x14ac:dyDescent="0.3">
      <c r="H78" s="5" t="s">
        <v>144</v>
      </c>
      <c r="I78" s="21"/>
      <c r="J78" s="13">
        <v>2700</v>
      </c>
      <c r="K78" s="8">
        <v>75</v>
      </c>
      <c r="L78" s="26">
        <f>Table134567810111213141516171819202122232425262728303132[[#This Row],[الدولار]]+(Table134567810111213141516171819202122232425262728303132[[#This Row],[اللبناني]]/90)</f>
        <v>105</v>
      </c>
      <c r="M78" s="6"/>
    </row>
    <row r="79" spans="4:19" s="8" customFormat="1" x14ac:dyDescent="0.3">
      <c r="H79" s="5" t="s">
        <v>144</v>
      </c>
      <c r="I79" s="21"/>
      <c r="J79" s="13"/>
      <c r="K79" s="8">
        <v>46</v>
      </c>
      <c r="L79" s="26">
        <f>Table134567810111213141516171819202122232425262728303132[[#This Row],[الدولار]]+(Table134567810111213141516171819202122232425262728303132[[#This Row],[اللبناني]]/90)</f>
        <v>46</v>
      </c>
      <c r="M79" s="6"/>
    </row>
    <row r="80" spans="4:19" s="8" customFormat="1" x14ac:dyDescent="0.3">
      <c r="H80" s="5" t="s">
        <v>144</v>
      </c>
      <c r="I80" s="21"/>
      <c r="J80" s="13"/>
      <c r="K80" s="8">
        <v>1000</v>
      </c>
      <c r="L80" s="26">
        <f>Table134567810111213141516171819202122232425262728303132[[#This Row],[الدولار]]+(Table134567810111213141516171819202122232425262728303132[[#This Row],[اللبناني]]/90)</f>
        <v>1000</v>
      </c>
      <c r="M80" s="6"/>
    </row>
    <row r="81" spans="8:19" s="8" customFormat="1" x14ac:dyDescent="0.3">
      <c r="H81" s="5" t="s">
        <v>144</v>
      </c>
      <c r="I81" s="21"/>
      <c r="J81" s="13"/>
      <c r="K81" s="8">
        <v>1000</v>
      </c>
      <c r="L81" s="26">
        <f>Table134567810111213141516171819202122232425262728303132[[#This Row],[الدولار]]+(Table134567810111213141516171819202122232425262728303132[[#This Row],[اللبناني]]/90)</f>
        <v>1000</v>
      </c>
      <c r="M81" s="6"/>
      <c r="S81" s="19"/>
    </row>
    <row r="82" spans="8:19" s="8" customFormat="1" x14ac:dyDescent="0.3">
      <c r="H82" s="5" t="s">
        <v>144</v>
      </c>
      <c r="I82" s="21"/>
      <c r="J82" s="13">
        <v>250</v>
      </c>
      <c r="L82" s="26">
        <f>Table134567810111213141516171819202122232425262728303132[[#This Row],[الدولار]]+(Table134567810111213141516171819202122232425262728303132[[#This Row],[اللبناني]]/90)</f>
        <v>2.7777777777777777</v>
      </c>
      <c r="M82" s="6"/>
    </row>
    <row r="83" spans="8:19" s="8" customFormat="1" x14ac:dyDescent="0.3">
      <c r="H83" s="5" t="s">
        <v>146</v>
      </c>
      <c r="I83" s="21"/>
      <c r="J83" s="13"/>
      <c r="K83" s="8">
        <v>-150</v>
      </c>
      <c r="L83" s="26">
        <f>Table134567810111213141516171819202122232425262728303132[[#This Row],[الدولار]]+(Table134567810111213141516171819202122232425262728303132[[#This Row],[اللبناني]]/90)</f>
        <v>-150</v>
      </c>
      <c r="M83" s="6"/>
    </row>
    <row r="84" spans="8:19" s="8" customFormat="1" x14ac:dyDescent="0.3">
      <c r="H84" s="5" t="s">
        <v>144</v>
      </c>
      <c r="I84" s="21"/>
      <c r="J84" s="13">
        <v>70</v>
      </c>
      <c r="L84" s="26">
        <f>Table134567810111213141516171819202122232425262728303132[[#This Row],[الدولار]]+(Table134567810111213141516171819202122232425262728303132[[#This Row],[اللبناني]]/90)</f>
        <v>0.77777777777777779</v>
      </c>
      <c r="M84" s="6"/>
    </row>
    <row r="85" spans="8:19" s="8" customFormat="1" x14ac:dyDescent="0.3">
      <c r="H85" s="5" t="s">
        <v>144</v>
      </c>
      <c r="I85" s="21"/>
      <c r="J85" s="13">
        <v>180</v>
      </c>
      <c r="K85" s="8">
        <v>10</v>
      </c>
      <c r="L85" s="26">
        <f>Table134567810111213141516171819202122232425262728303132[[#This Row],[الدولار]]+(Table134567810111213141516171819202122232425262728303132[[#This Row],[اللبناني]]/90)</f>
        <v>12</v>
      </c>
      <c r="M85" s="6"/>
    </row>
    <row r="86" spans="8:19" s="8" customFormat="1" x14ac:dyDescent="0.3">
      <c r="H86" s="5" t="s">
        <v>144</v>
      </c>
      <c r="I86" s="21"/>
      <c r="J86" s="13"/>
      <c r="K86" s="8">
        <v>70</v>
      </c>
      <c r="L86" s="26">
        <f>Table134567810111213141516171819202122232425262728303132[[#This Row],[الدولار]]+(Table134567810111213141516171819202122232425262728303132[[#This Row],[اللبناني]]/90)</f>
        <v>70</v>
      </c>
      <c r="M86" s="6"/>
    </row>
    <row r="87" spans="8:19" s="8" customFormat="1" x14ac:dyDescent="0.3">
      <c r="H87" s="5" t="s">
        <v>144</v>
      </c>
      <c r="I87" s="21"/>
      <c r="J87" s="13"/>
      <c r="K87" s="8">
        <v>350</v>
      </c>
      <c r="L87" s="26">
        <f>Table134567810111213141516171819202122232425262728303132[[#This Row],[الدولار]]+(Table134567810111213141516171819202122232425262728303132[[#This Row],[اللبناني]]/90)</f>
        <v>350</v>
      </c>
      <c r="M87" s="6"/>
    </row>
    <row r="88" spans="8:19" s="8" customFormat="1" x14ac:dyDescent="0.3">
      <c r="H88" s="5" t="s">
        <v>144</v>
      </c>
      <c r="I88" s="21"/>
      <c r="J88" s="13">
        <v>720</v>
      </c>
      <c r="L88" s="26">
        <f>Table134567810111213141516171819202122232425262728303132[[#This Row],[الدولار]]+(Table134567810111213141516171819202122232425262728303132[[#This Row],[اللبناني]]/90)</f>
        <v>8</v>
      </c>
      <c r="M88" s="6"/>
    </row>
    <row r="89" spans="8:19" s="8" customFormat="1" x14ac:dyDescent="0.3">
      <c r="H89" s="5" t="s">
        <v>144</v>
      </c>
      <c r="I89" s="21"/>
      <c r="J89" s="13">
        <v>135</v>
      </c>
      <c r="L89" s="26">
        <f>Table134567810111213141516171819202122232425262728303132[[#This Row],[الدولار]]+(Table134567810111213141516171819202122232425262728303132[[#This Row],[اللبناني]]/90)</f>
        <v>1.5</v>
      </c>
      <c r="M89" s="6"/>
    </row>
    <row r="90" spans="8:19" s="8" customFormat="1" x14ac:dyDescent="0.3">
      <c r="H90" s="5" t="s">
        <v>144</v>
      </c>
      <c r="I90" s="21"/>
      <c r="J90" s="13">
        <v>195</v>
      </c>
      <c r="L90" s="26">
        <f>Table134567810111213141516171819202122232425262728303132[[#This Row],[الدولار]]+(Table134567810111213141516171819202122232425262728303132[[#This Row],[اللبناني]]/90)</f>
        <v>2.1666666666666665</v>
      </c>
      <c r="M90" s="6"/>
    </row>
    <row r="91" spans="8:19" s="8" customFormat="1" x14ac:dyDescent="0.3">
      <c r="H91" s="5" t="s">
        <v>144</v>
      </c>
      <c r="I91" s="21"/>
      <c r="J91" s="13"/>
      <c r="K91" s="8">
        <v>-5000</v>
      </c>
      <c r="L91" s="26">
        <f>Table134567810111213141516171819202122232425262728303132[[#This Row],[الدولار]]+(Table134567810111213141516171819202122232425262728303132[[#This Row],[اللبناني]]/90)</f>
        <v>-5000</v>
      </c>
      <c r="M91" s="6"/>
    </row>
    <row r="92" spans="8:19" s="8" customFormat="1" x14ac:dyDescent="0.3">
      <c r="H92" s="5" t="s">
        <v>144</v>
      </c>
      <c r="I92" s="21"/>
      <c r="J92" s="13"/>
      <c r="K92" s="8">
        <v>-2600</v>
      </c>
      <c r="L92" s="26">
        <f>Table134567810111213141516171819202122232425262728303132[[#This Row],[الدولار]]+(Table134567810111213141516171819202122232425262728303132[[#This Row],[اللبناني]]/90)</f>
        <v>-2600</v>
      </c>
      <c r="M92" s="6"/>
    </row>
    <row r="93" spans="8:19" s="8" customFormat="1" x14ac:dyDescent="0.3">
      <c r="H93" s="5" t="s">
        <v>144</v>
      </c>
      <c r="I93" s="21"/>
      <c r="J93" s="13">
        <v>-5000</v>
      </c>
      <c r="L93" s="26">
        <f>Table134567810111213141516171819202122232425262728303132[[#This Row],[الدولار]]+(Table134567810111213141516171819202122232425262728303132[[#This Row],[اللبناني]]/90)</f>
        <v>-55.555555555555557</v>
      </c>
      <c r="M93" s="6"/>
    </row>
    <row r="94" spans="8:19" s="8" customFormat="1" x14ac:dyDescent="0.3">
      <c r="H94" s="5" t="s">
        <v>144</v>
      </c>
      <c r="I94" s="21"/>
      <c r="J94" s="13"/>
      <c r="L94" s="26">
        <f>Table134567810111213141516171819202122232425262728303132[[#This Row],[الدولار]]+(Table134567810111213141516171819202122232425262728303132[[#This Row],[اللبناني]]/90)</f>
        <v>0</v>
      </c>
      <c r="M94" s="6"/>
    </row>
    <row r="95" spans="8:19" s="8" customFormat="1" x14ac:dyDescent="0.3">
      <c r="H95" s="5" t="s">
        <v>145</v>
      </c>
      <c r="I95" s="21" t="s">
        <v>300</v>
      </c>
      <c r="J95" s="13"/>
      <c r="K95" s="8">
        <v>-20</v>
      </c>
      <c r="L95" s="26">
        <f>Table134567810111213141516171819202122232425262728303132[[#This Row],[الدولار]]+(Table134567810111213141516171819202122232425262728303132[[#This Row],[اللبناني]]/90)</f>
        <v>-20</v>
      </c>
      <c r="M95" s="6"/>
    </row>
    <row r="96" spans="8:19" s="8" customFormat="1" x14ac:dyDescent="0.3">
      <c r="H96" s="5" t="s">
        <v>145</v>
      </c>
      <c r="I96" s="21" t="s">
        <v>300</v>
      </c>
      <c r="J96" s="13">
        <v>-2000</v>
      </c>
      <c r="L96" s="26">
        <f>Table134567810111213141516171819202122232425262728303132[[#This Row],[الدولار]]+(Table134567810111213141516171819202122232425262728303132[[#This Row],[اللبناني]]/90)</f>
        <v>-22.222222222222221</v>
      </c>
      <c r="M96" s="6"/>
    </row>
    <row r="97" spans="8:13" s="8" customFormat="1" x14ac:dyDescent="0.3">
      <c r="H97" s="5" t="s">
        <v>145</v>
      </c>
      <c r="I97" s="21" t="s">
        <v>300</v>
      </c>
      <c r="J97" s="13">
        <v>-2000</v>
      </c>
      <c r="L97" s="26">
        <f>Table134567810111213141516171819202122232425262728303132[[#This Row],[الدولار]]+(Table134567810111213141516171819202122232425262728303132[[#This Row],[اللبناني]]/90)</f>
        <v>-22.222222222222221</v>
      </c>
      <c r="M97" s="6"/>
    </row>
    <row r="98" spans="8:13" s="8" customFormat="1" x14ac:dyDescent="0.3">
      <c r="H98" s="5" t="s">
        <v>145</v>
      </c>
      <c r="I98" s="21" t="s">
        <v>300</v>
      </c>
      <c r="J98" s="13">
        <v>-300</v>
      </c>
      <c r="L98" s="26">
        <f>Table134567810111213141516171819202122232425262728303132[[#This Row],[الدولار]]+(Table134567810111213141516171819202122232425262728303132[[#This Row],[اللبناني]]/90)</f>
        <v>-3.3333333333333335</v>
      </c>
      <c r="M98" s="6"/>
    </row>
    <row r="99" spans="8:13" s="8" customFormat="1" x14ac:dyDescent="0.3">
      <c r="H99" s="5" t="s">
        <v>146</v>
      </c>
      <c r="I99" s="21" t="s">
        <v>13</v>
      </c>
      <c r="J99" s="13">
        <v>4300</v>
      </c>
      <c r="K99" s="8">
        <v>20</v>
      </c>
      <c r="L99" s="26">
        <f>Table134567810111213141516171819202122232425262728303132[[#This Row],[الدولار]]+(Table134567810111213141516171819202122232425262728303132[[#This Row],[اللبناني]]/90)</f>
        <v>67.777777777777771</v>
      </c>
      <c r="M99" s="6"/>
    </row>
    <row r="100" spans="8:13" s="8" customFormat="1" x14ac:dyDescent="0.3">
      <c r="H100" s="5" t="s">
        <v>144</v>
      </c>
      <c r="I100" s="21" t="s">
        <v>301</v>
      </c>
      <c r="J100" s="13">
        <v>300</v>
      </c>
      <c r="L100" s="26">
        <f>Table134567810111213141516171819202122232425262728303132[[#This Row],[الدولار]]+(Table134567810111213141516171819202122232425262728303132[[#This Row],[اللبناني]]/90)</f>
        <v>3.3333333333333335</v>
      </c>
      <c r="M100" s="6"/>
    </row>
    <row r="101" spans="8:13" s="8" customFormat="1" x14ac:dyDescent="0.3">
      <c r="H101" s="5" t="s">
        <v>144</v>
      </c>
      <c r="I101" s="21" t="s">
        <v>302</v>
      </c>
      <c r="J101" s="13"/>
      <c r="K101" s="8">
        <v>150</v>
      </c>
      <c r="L101" s="26">
        <f>Table134567810111213141516171819202122232425262728303132[[#This Row],[الدولار]]+(Table134567810111213141516171819202122232425262728303132[[#This Row],[اللبناني]]/90)</f>
        <v>150</v>
      </c>
      <c r="M101" s="6"/>
    </row>
    <row r="102" spans="8:13" s="8" customFormat="1" x14ac:dyDescent="0.3">
      <c r="H102" s="5" t="s">
        <v>144</v>
      </c>
      <c r="I102" s="21" t="s">
        <v>37</v>
      </c>
      <c r="J102" s="13">
        <v>-135</v>
      </c>
      <c r="L102" s="26">
        <f>Table134567810111213141516171819202122232425262728303132[[#This Row],[الدولار]]+(Table134567810111213141516171819202122232425262728303132[[#This Row],[اللبناني]]/90)</f>
        <v>-1.5</v>
      </c>
      <c r="M102" s="6"/>
    </row>
    <row r="103" spans="8:13" s="8" customFormat="1" x14ac:dyDescent="0.3">
      <c r="H103" s="5" t="s">
        <v>144</v>
      </c>
      <c r="I103" s="21"/>
      <c r="J103" s="13"/>
      <c r="L103" s="26">
        <f>Table134567810111213141516171819202122232425262728303132[[#This Row],[الدولار]]+(Table134567810111213141516171819202122232425262728303132[[#This Row],[اللبناني]]/90)</f>
        <v>0</v>
      </c>
      <c r="M103" s="6"/>
    </row>
    <row r="104" spans="8:13" s="8" customFormat="1" x14ac:dyDescent="0.3">
      <c r="H104" s="5" t="s">
        <v>144</v>
      </c>
      <c r="I104" s="21"/>
      <c r="J104" s="13"/>
      <c r="L104" s="26">
        <f>Table134567810111213141516171819202122232425262728303132[[#This Row],[الدولار]]+(Table134567810111213141516171819202122232425262728303132[[#This Row],[اللبناني]]/90)</f>
        <v>0</v>
      </c>
      <c r="M104" s="6"/>
    </row>
    <row r="105" spans="8:13" s="8" customFormat="1" x14ac:dyDescent="0.3">
      <c r="H105" s="5" t="s">
        <v>144</v>
      </c>
      <c r="I105" s="21"/>
      <c r="J105" s="13"/>
      <c r="L105" s="26">
        <f>Table134567810111213141516171819202122232425262728303132[[#This Row],[الدولار]]+(Table134567810111213141516171819202122232425262728303132[[#This Row],[اللبناني]]/90)</f>
        <v>0</v>
      </c>
      <c r="M105" s="6"/>
    </row>
    <row r="106" spans="8:13" s="8" customFormat="1" x14ac:dyDescent="0.3">
      <c r="H106" s="5" t="s">
        <v>144</v>
      </c>
      <c r="I106" s="21"/>
      <c r="J106" s="13"/>
      <c r="L106" s="26">
        <f>Table134567810111213141516171819202122232425262728303132[[#This Row],[الدولار]]+(Table134567810111213141516171819202122232425262728303132[[#This Row],[اللبناني]]/90)</f>
        <v>0</v>
      </c>
      <c r="M106" s="6"/>
    </row>
    <row r="107" spans="8:13" s="8" customFormat="1" x14ac:dyDescent="0.3">
      <c r="H107" s="5" t="s">
        <v>144</v>
      </c>
      <c r="I107" s="21"/>
      <c r="J107" s="13"/>
      <c r="L107" s="26">
        <f>Table134567810111213141516171819202122232425262728303132[[#This Row],[الدولار]]+(Table134567810111213141516171819202122232425262728303132[[#This Row],[اللبناني]]/90)</f>
        <v>0</v>
      </c>
      <c r="M107" s="6"/>
    </row>
    <row r="108" spans="8:13" s="8" customFormat="1" x14ac:dyDescent="0.3">
      <c r="H108" s="5" t="s">
        <v>144</v>
      </c>
      <c r="I108" s="21"/>
      <c r="J108" s="13"/>
      <c r="L108" s="26">
        <f>Table134567810111213141516171819202122232425262728303132[[#This Row],[الدولار]]+(Table134567810111213141516171819202122232425262728303132[[#This Row],[اللبناني]]/90)</f>
        <v>0</v>
      </c>
      <c r="M108" s="6"/>
    </row>
    <row r="109" spans="8:13" s="8" customFormat="1" x14ac:dyDescent="0.3">
      <c r="H109" s="5" t="s">
        <v>144</v>
      </c>
      <c r="I109" s="21"/>
      <c r="J109" s="13"/>
      <c r="L109" s="26">
        <f>Table134567810111213141516171819202122232425262728303132[[#This Row],[الدولار]]+(Table134567810111213141516171819202122232425262728303132[[#This Row],[اللبناني]]/90)</f>
        <v>0</v>
      </c>
      <c r="M109" s="6"/>
    </row>
    <row r="110" spans="8:13" s="8" customFormat="1" x14ac:dyDescent="0.3">
      <c r="H110" s="5" t="s">
        <v>144</v>
      </c>
      <c r="I110" s="21"/>
      <c r="J110" s="13"/>
      <c r="L110" s="26">
        <f>Table134567810111213141516171819202122232425262728303132[[#This Row],[الدولار]]+(Table134567810111213141516171819202122232425262728303132[[#This Row],[اللبناني]]/90)</f>
        <v>0</v>
      </c>
      <c r="M110" s="6"/>
    </row>
    <row r="111" spans="8:13" s="8" customFormat="1" x14ac:dyDescent="0.3">
      <c r="H111" s="5" t="s">
        <v>144</v>
      </c>
      <c r="I111" s="21"/>
      <c r="J111" s="13"/>
      <c r="L111" s="26">
        <f>Table134567810111213141516171819202122232425262728303132[[#This Row],[الدولار]]+(Table134567810111213141516171819202122232425262728303132[[#This Row],[اللبناني]]/90)</f>
        <v>0</v>
      </c>
      <c r="M111" s="6"/>
    </row>
    <row r="112" spans="8:13" s="8" customFormat="1" x14ac:dyDescent="0.3">
      <c r="H112" s="5" t="s">
        <v>144</v>
      </c>
      <c r="I112" s="21"/>
      <c r="J112" s="13"/>
      <c r="L112" s="26">
        <f>Table134567810111213141516171819202122232425262728303132[[#This Row],[الدولار]]+(Table134567810111213141516171819202122232425262728303132[[#This Row],[اللبناني]]/90)</f>
        <v>0</v>
      </c>
      <c r="M112" s="6"/>
    </row>
    <row r="113" spans="8:13" s="8" customFormat="1" x14ac:dyDescent="0.3">
      <c r="H113" s="5" t="s">
        <v>144</v>
      </c>
      <c r="I113" s="21"/>
      <c r="J113" s="13"/>
      <c r="L113" s="26">
        <f>Table134567810111213141516171819202122232425262728303132[[#This Row],[الدولار]]+(Table134567810111213141516171819202122232425262728303132[[#This Row],[اللبناني]]/90)</f>
        <v>0</v>
      </c>
      <c r="M113" s="6"/>
    </row>
    <row r="114" spans="8:13" s="8" customFormat="1" x14ac:dyDescent="0.3">
      <c r="H114" s="5" t="s">
        <v>144</v>
      </c>
      <c r="I114" s="21"/>
      <c r="J114" s="13"/>
      <c r="L114" s="26">
        <f>Table134567810111213141516171819202122232425262728303132[[#This Row],[الدولار]]+(Table134567810111213141516171819202122232425262728303132[[#This Row],[اللبناني]]/90)</f>
        <v>0</v>
      </c>
      <c r="M114" s="6"/>
    </row>
    <row r="115" spans="8:13" s="8" customFormat="1" x14ac:dyDescent="0.3">
      <c r="H115" s="5" t="s">
        <v>144</v>
      </c>
      <c r="I115" s="21"/>
      <c r="J115" s="13"/>
      <c r="L115" s="26">
        <f>Table134567810111213141516171819202122232425262728303132[[#This Row],[الدولار]]+(Table134567810111213141516171819202122232425262728303132[[#This Row],[اللبناني]]/90)</f>
        <v>0</v>
      </c>
      <c r="M115" s="6"/>
    </row>
    <row r="116" spans="8:13" s="8" customFormat="1" x14ac:dyDescent="0.3">
      <c r="H116" s="5" t="s">
        <v>144</v>
      </c>
      <c r="I116" s="21"/>
      <c r="J116" s="13"/>
      <c r="L116" s="26">
        <f>Table134567810111213141516171819202122232425262728303132[[#This Row],[الدولار]]+(Table134567810111213141516171819202122232425262728303132[[#This Row],[اللبناني]]/90)</f>
        <v>0</v>
      </c>
      <c r="M116" s="6"/>
    </row>
    <row r="117" spans="8:13" s="8" customFormat="1" x14ac:dyDescent="0.3">
      <c r="H117" s="5" t="s">
        <v>144</v>
      </c>
      <c r="I117" s="21"/>
      <c r="J117" s="13"/>
      <c r="L117" s="26">
        <f>Table134567810111213141516171819202122232425262728303132[[#This Row],[الدولار]]+(Table134567810111213141516171819202122232425262728303132[[#This Row],[اللبناني]]/90)</f>
        <v>0</v>
      </c>
      <c r="M117" s="6"/>
    </row>
    <row r="118" spans="8:13" s="8" customFormat="1" x14ac:dyDescent="0.3">
      <c r="H118" s="5" t="s">
        <v>144</v>
      </c>
      <c r="I118" s="21"/>
      <c r="J118" s="13"/>
      <c r="L118" s="26">
        <f>Table134567810111213141516171819202122232425262728303132[[#This Row],[الدولار]]+(Table134567810111213141516171819202122232425262728303132[[#This Row],[اللبناني]]/90)</f>
        <v>0</v>
      </c>
      <c r="M118" s="6"/>
    </row>
    <row r="119" spans="8:13" s="8" customFormat="1" x14ac:dyDescent="0.3">
      <c r="H119" s="5" t="s">
        <v>144</v>
      </c>
      <c r="I119" s="21"/>
      <c r="J119" s="13"/>
      <c r="L119" s="26">
        <f>Table134567810111213141516171819202122232425262728303132[[#This Row],[الدولار]]+(Table134567810111213141516171819202122232425262728303132[[#This Row],[اللبناني]]/90)</f>
        <v>0</v>
      </c>
      <c r="M119" s="6"/>
    </row>
    <row r="120" spans="8:13" s="8" customFormat="1" x14ac:dyDescent="0.3">
      <c r="H120" s="5" t="s">
        <v>144</v>
      </c>
      <c r="I120" s="21"/>
      <c r="J120" s="13"/>
      <c r="L120" s="26">
        <f>Table134567810111213141516171819202122232425262728303132[[#This Row],[الدولار]]+(Table134567810111213141516171819202122232425262728303132[[#This Row],[اللبناني]]/90)</f>
        <v>0</v>
      </c>
      <c r="M120" s="6"/>
    </row>
    <row r="121" spans="8:13" s="8" customFormat="1" x14ac:dyDescent="0.3">
      <c r="H121" s="5" t="s">
        <v>144</v>
      </c>
      <c r="I121" s="21"/>
      <c r="J121" s="13"/>
      <c r="L121" s="26">
        <f>Table134567810111213141516171819202122232425262728303132[[#This Row],[الدولار]]+(Table134567810111213141516171819202122232425262728303132[[#This Row],[اللبناني]]/90)</f>
        <v>0</v>
      </c>
      <c r="M121" s="6"/>
    </row>
    <row r="122" spans="8:13" s="8" customFormat="1" x14ac:dyDescent="0.3">
      <c r="H122" s="5" t="s">
        <v>144</v>
      </c>
      <c r="I122" s="21"/>
      <c r="J122" s="13"/>
      <c r="L122" s="26">
        <f>Table134567810111213141516171819202122232425262728303132[[#This Row],[الدولار]]+(Table134567810111213141516171819202122232425262728303132[[#This Row],[اللبناني]]/90)</f>
        <v>0</v>
      </c>
      <c r="M122" s="6"/>
    </row>
    <row r="123" spans="8:13" s="8" customFormat="1" x14ac:dyDescent="0.3">
      <c r="H123" s="5" t="s">
        <v>144</v>
      </c>
      <c r="I123" s="21"/>
      <c r="J123" s="13"/>
      <c r="L123" s="26">
        <f>Table134567810111213141516171819202122232425262728303132[[#This Row],[الدولار]]+(Table134567810111213141516171819202122232425262728303132[[#This Row],[اللبناني]]/90)</f>
        <v>0</v>
      </c>
      <c r="M123" s="6"/>
    </row>
    <row r="124" spans="8:13" s="8" customFormat="1" x14ac:dyDescent="0.3">
      <c r="H124" s="5" t="s">
        <v>144</v>
      </c>
      <c r="I124" s="21"/>
      <c r="J124" s="13"/>
      <c r="L124" s="26">
        <f>Table134567810111213141516171819202122232425262728303132[[#This Row],[الدولار]]+(Table134567810111213141516171819202122232425262728303132[[#This Row],[اللبناني]]/90)</f>
        <v>0</v>
      </c>
      <c r="M124" s="6"/>
    </row>
    <row r="125" spans="8:13" s="8" customFormat="1" x14ac:dyDescent="0.3">
      <c r="H125" s="5" t="s">
        <v>144</v>
      </c>
      <c r="I125" s="21"/>
      <c r="J125" s="13"/>
      <c r="L125" s="26">
        <f>Table134567810111213141516171819202122232425262728303132[[#This Row],[الدولار]]+(Table134567810111213141516171819202122232425262728303132[[#This Row],[اللبناني]]/90)</f>
        <v>0</v>
      </c>
      <c r="M125" s="6"/>
    </row>
    <row r="126" spans="8:13" s="8" customFormat="1" x14ac:dyDescent="0.3">
      <c r="H126" s="5" t="s">
        <v>144</v>
      </c>
      <c r="I126" s="21"/>
      <c r="J126" s="13"/>
      <c r="L126" s="26">
        <f>Table134567810111213141516171819202122232425262728303132[[#This Row],[الدولار]]+(Table134567810111213141516171819202122232425262728303132[[#This Row],[اللبناني]]/90)</f>
        <v>0</v>
      </c>
      <c r="M126" s="6"/>
    </row>
    <row r="127" spans="8:13" s="8" customFormat="1" x14ac:dyDescent="0.3">
      <c r="H127" s="5" t="s">
        <v>144</v>
      </c>
      <c r="I127" s="21"/>
      <c r="J127" s="13"/>
      <c r="L127" s="26">
        <f>Table134567810111213141516171819202122232425262728303132[[#This Row],[الدولار]]+(Table134567810111213141516171819202122232425262728303132[[#This Row],[اللبناني]]/90)</f>
        <v>0</v>
      </c>
      <c r="M127" s="6"/>
    </row>
    <row r="128" spans="8:13" s="8" customFormat="1" x14ac:dyDescent="0.3">
      <c r="H128" s="5" t="s">
        <v>144</v>
      </c>
      <c r="I128" s="21"/>
      <c r="J128" s="13"/>
      <c r="L128" s="26">
        <f>Table134567810111213141516171819202122232425262728303132[[#This Row],[الدولار]]+(Table134567810111213141516171819202122232425262728303132[[#This Row],[اللبناني]]/90)</f>
        <v>0</v>
      </c>
      <c r="M128" s="6"/>
    </row>
    <row r="129" spans="8:13" s="8" customFormat="1" x14ac:dyDescent="0.3">
      <c r="H129" s="5" t="s">
        <v>144</v>
      </c>
      <c r="I129" s="21"/>
      <c r="J129" s="13"/>
      <c r="L129" s="26">
        <f>Table134567810111213141516171819202122232425262728303132[[#This Row],[الدولار]]+(Table134567810111213141516171819202122232425262728303132[[#This Row],[اللبناني]]/90)</f>
        <v>0</v>
      </c>
      <c r="M129" s="6"/>
    </row>
    <row r="130" spans="8:13" s="8" customFormat="1" x14ac:dyDescent="0.3">
      <c r="H130" s="5" t="s">
        <v>144</v>
      </c>
      <c r="I130" s="21"/>
      <c r="J130" s="13"/>
      <c r="L130" s="26">
        <f>Table134567810111213141516171819202122232425262728303132[[#This Row],[الدولار]]+(Table134567810111213141516171819202122232425262728303132[[#This Row],[اللبناني]]/90)</f>
        <v>0</v>
      </c>
      <c r="M130" s="6"/>
    </row>
    <row r="131" spans="8:13" s="8" customFormat="1" x14ac:dyDescent="0.3">
      <c r="H131" s="5" t="s">
        <v>144</v>
      </c>
      <c r="I131" s="21"/>
      <c r="J131" s="13"/>
      <c r="L131" s="26">
        <f>Table134567810111213141516171819202122232425262728303132[[#This Row],[الدولار]]+(Table134567810111213141516171819202122232425262728303132[[#This Row],[اللبناني]]/90)</f>
        <v>0</v>
      </c>
      <c r="M131" s="6"/>
    </row>
    <row r="132" spans="8:13" s="8" customFormat="1" x14ac:dyDescent="0.3">
      <c r="H132" s="5" t="s">
        <v>144</v>
      </c>
      <c r="I132" s="21"/>
      <c r="J132" s="13"/>
      <c r="L132" s="26">
        <f>Table134567810111213141516171819202122232425262728303132[[#This Row],[الدولار]]+(Table134567810111213141516171819202122232425262728303132[[#This Row],[اللبناني]]/90)</f>
        <v>0</v>
      </c>
      <c r="M132" s="6"/>
    </row>
    <row r="133" spans="8:13" s="8" customFormat="1" x14ac:dyDescent="0.3">
      <c r="H133" s="5" t="s">
        <v>144</v>
      </c>
      <c r="I133" s="21"/>
      <c r="J133" s="13"/>
      <c r="L133" s="26">
        <f>Table134567810111213141516171819202122232425262728303132[[#This Row],[الدولار]]+(Table134567810111213141516171819202122232425262728303132[[#This Row],[اللبناني]]/90)</f>
        <v>0</v>
      </c>
      <c r="M133" s="6"/>
    </row>
    <row r="134" spans="8:13" s="8" customFormat="1" x14ac:dyDescent="0.3">
      <c r="H134" s="5" t="s">
        <v>144</v>
      </c>
      <c r="I134" s="21"/>
      <c r="J134" s="13"/>
      <c r="L134" s="26">
        <f>Table134567810111213141516171819202122232425262728303132[[#This Row],[الدولار]]+(Table134567810111213141516171819202122232425262728303132[[#This Row],[اللبناني]]/90)</f>
        <v>0</v>
      </c>
      <c r="M134" s="6"/>
    </row>
    <row r="135" spans="8:13" s="8" customFormat="1" x14ac:dyDescent="0.3">
      <c r="H135" s="5" t="s">
        <v>144</v>
      </c>
      <c r="I135" s="21"/>
      <c r="J135" s="13"/>
      <c r="L135" s="26">
        <f>Table134567810111213141516171819202122232425262728303132[[#This Row],[الدولار]]+(Table134567810111213141516171819202122232425262728303132[[#This Row],[اللبناني]]/90)</f>
        <v>0</v>
      </c>
      <c r="M135" s="6"/>
    </row>
    <row r="136" spans="8:13" s="8" customFormat="1" x14ac:dyDescent="0.3">
      <c r="H136" s="5" t="s">
        <v>144</v>
      </c>
      <c r="I136" s="21"/>
      <c r="J136" s="13"/>
      <c r="L136" s="26">
        <f>Table134567810111213141516171819202122232425262728303132[[#This Row],[الدولار]]+(Table134567810111213141516171819202122232425262728303132[[#This Row],[اللبناني]]/90)</f>
        <v>0</v>
      </c>
      <c r="M136" s="6"/>
    </row>
    <row r="137" spans="8:13" s="8" customFormat="1" x14ac:dyDescent="0.3">
      <c r="H137" s="5" t="s">
        <v>144</v>
      </c>
      <c r="I137" s="21"/>
      <c r="J137" s="13"/>
      <c r="L137" s="26">
        <f>Table134567810111213141516171819202122232425262728303132[[#This Row],[الدولار]]+(Table134567810111213141516171819202122232425262728303132[[#This Row],[اللبناني]]/90)</f>
        <v>0</v>
      </c>
      <c r="M137" s="6"/>
    </row>
    <row r="138" spans="8:13" s="8" customFormat="1" x14ac:dyDescent="0.3">
      <c r="H138" s="5" t="s">
        <v>144</v>
      </c>
      <c r="I138" s="21"/>
      <c r="J138" s="13"/>
      <c r="L138" s="26">
        <f>Table134567810111213141516171819202122232425262728303132[[#This Row],[الدولار]]+(Table134567810111213141516171819202122232425262728303132[[#This Row],[اللبناني]]/90)</f>
        <v>0</v>
      </c>
      <c r="M138" s="6"/>
    </row>
    <row r="139" spans="8:13" s="8" customFormat="1" x14ac:dyDescent="0.3">
      <c r="H139" s="5" t="s">
        <v>144</v>
      </c>
      <c r="I139" s="21"/>
      <c r="J139" s="13"/>
      <c r="L139" s="26">
        <f>Table134567810111213141516171819202122232425262728303132[[#This Row],[الدولار]]+(Table134567810111213141516171819202122232425262728303132[[#This Row],[اللبناني]]/90)</f>
        <v>0</v>
      </c>
      <c r="M139" s="6"/>
    </row>
    <row r="140" spans="8:13" s="8" customFormat="1" x14ac:dyDescent="0.3">
      <c r="H140" s="5" t="s">
        <v>144</v>
      </c>
      <c r="I140" s="21"/>
      <c r="J140" s="13"/>
      <c r="L140" s="26">
        <f>Table134567810111213141516171819202122232425262728303132[[#This Row],[الدولار]]+(Table134567810111213141516171819202122232425262728303132[[#This Row],[اللبناني]]/90)</f>
        <v>0</v>
      </c>
      <c r="M140" s="6"/>
    </row>
    <row r="141" spans="8:13" s="8" customFormat="1" x14ac:dyDescent="0.3">
      <c r="H141" s="5" t="s">
        <v>144</v>
      </c>
      <c r="I141" s="21"/>
      <c r="J141" s="13"/>
      <c r="L141" s="26">
        <f>Table134567810111213141516171819202122232425262728303132[[#This Row],[الدولار]]+(Table134567810111213141516171819202122232425262728303132[[#This Row],[اللبناني]]/90)</f>
        <v>0</v>
      </c>
      <c r="M141" s="6"/>
    </row>
    <row r="142" spans="8:13" s="8" customFormat="1" x14ac:dyDescent="0.3">
      <c r="H142" s="5" t="s">
        <v>144</v>
      </c>
      <c r="I142" s="21"/>
      <c r="J142" s="13"/>
      <c r="L142" s="26">
        <f>Table134567810111213141516171819202122232425262728303132[[#This Row],[الدولار]]+(Table134567810111213141516171819202122232425262728303132[[#This Row],[اللبناني]]/90)</f>
        <v>0</v>
      </c>
      <c r="M142" s="6"/>
    </row>
    <row r="143" spans="8:13" s="8" customFormat="1" x14ac:dyDescent="0.3">
      <c r="H143" s="5" t="s">
        <v>144</v>
      </c>
      <c r="I143" s="21"/>
      <c r="J143" s="13"/>
      <c r="L143" s="26">
        <f>Table134567810111213141516171819202122232425262728303132[[#This Row],[الدولار]]+(Table134567810111213141516171819202122232425262728303132[[#This Row],[اللبناني]]/90)</f>
        <v>0</v>
      </c>
      <c r="M143" s="6"/>
    </row>
    <row r="144" spans="8:13" s="8" customFormat="1" x14ac:dyDescent="0.3">
      <c r="H144" s="5" t="s">
        <v>144</v>
      </c>
      <c r="I144" s="21"/>
      <c r="J144" s="13"/>
      <c r="L144" s="26">
        <f>Table134567810111213141516171819202122232425262728303132[[#This Row],[الدولار]]+(Table134567810111213141516171819202122232425262728303132[[#This Row],[اللبناني]]/90)</f>
        <v>0</v>
      </c>
      <c r="M144" s="6"/>
    </row>
    <row r="145" spans="8:13" s="8" customFormat="1" x14ac:dyDescent="0.3">
      <c r="H145" s="5" t="s">
        <v>144</v>
      </c>
      <c r="I145" s="21"/>
      <c r="J145" s="13"/>
      <c r="L145" s="26">
        <f>Table134567810111213141516171819202122232425262728303132[[#This Row],[الدولار]]+(Table134567810111213141516171819202122232425262728303132[[#This Row],[اللبناني]]/90)</f>
        <v>0</v>
      </c>
      <c r="M145" s="6"/>
    </row>
    <row r="146" spans="8:13" s="8" customFormat="1" x14ac:dyDescent="0.3">
      <c r="H146" s="5" t="s">
        <v>144</v>
      </c>
      <c r="I146" s="21"/>
      <c r="J146" s="13"/>
      <c r="L146" s="26">
        <f>Table134567810111213141516171819202122232425262728303132[[#This Row],[الدولار]]+(Table134567810111213141516171819202122232425262728303132[[#This Row],[اللبناني]]/90)</f>
        <v>0</v>
      </c>
      <c r="M146" s="6"/>
    </row>
    <row r="147" spans="8:13" s="8" customFormat="1" x14ac:dyDescent="0.3">
      <c r="H147" s="5" t="s">
        <v>144</v>
      </c>
      <c r="I147" s="21"/>
      <c r="J147" s="13"/>
      <c r="L147" s="26">
        <f>Table134567810111213141516171819202122232425262728303132[[#This Row],[الدولار]]+(Table134567810111213141516171819202122232425262728303132[[#This Row],[اللبناني]]/90)</f>
        <v>0</v>
      </c>
      <c r="M147" s="6"/>
    </row>
    <row r="148" spans="8:13" s="8" customFormat="1" x14ac:dyDescent="0.3">
      <c r="H148" s="5" t="s">
        <v>144</v>
      </c>
      <c r="I148" s="21"/>
      <c r="J148" s="13"/>
      <c r="L148" s="26">
        <f>Table134567810111213141516171819202122232425262728303132[[#This Row],[الدولار]]+(Table134567810111213141516171819202122232425262728303132[[#This Row],[اللبناني]]/90)</f>
        <v>0</v>
      </c>
      <c r="M148" s="6"/>
    </row>
    <row r="149" spans="8:13" s="8" customFormat="1" x14ac:dyDescent="0.3">
      <c r="H149" s="5" t="s">
        <v>144</v>
      </c>
      <c r="I149" s="21"/>
      <c r="J149" s="13"/>
      <c r="L149" s="26">
        <f>Table134567810111213141516171819202122232425262728303132[[#This Row],[الدولار]]+(Table134567810111213141516171819202122232425262728303132[[#This Row],[اللبناني]]/90)</f>
        <v>0</v>
      </c>
      <c r="M149" s="6"/>
    </row>
    <row r="150" spans="8:13" s="8" customFormat="1" x14ac:dyDescent="0.3">
      <c r="H150" s="5" t="s">
        <v>144</v>
      </c>
      <c r="I150" s="21"/>
      <c r="J150" s="13"/>
      <c r="L150" s="26">
        <f>Table134567810111213141516171819202122232425262728303132[[#This Row],[الدولار]]+(Table134567810111213141516171819202122232425262728303132[[#This Row],[اللبناني]]/90)</f>
        <v>0</v>
      </c>
      <c r="M150" s="6"/>
    </row>
    <row r="151" spans="8:13" s="8" customFormat="1" x14ac:dyDescent="0.3">
      <c r="H151" s="5" t="s">
        <v>144</v>
      </c>
      <c r="I151" s="21"/>
      <c r="J151" s="13"/>
      <c r="L151" s="26">
        <f>Table134567810111213141516171819202122232425262728303132[[#This Row],[الدولار]]+(Table134567810111213141516171819202122232425262728303132[[#This Row],[اللبناني]]/90)</f>
        <v>0</v>
      </c>
      <c r="M151" s="6"/>
    </row>
    <row r="152" spans="8:13" s="8" customFormat="1" x14ac:dyDescent="0.3">
      <c r="H152" s="5" t="s">
        <v>144</v>
      </c>
      <c r="I152" s="21"/>
      <c r="J152" s="13"/>
      <c r="L152" s="26">
        <f>Table134567810111213141516171819202122232425262728303132[[#This Row],[الدولار]]+(Table134567810111213141516171819202122232425262728303132[[#This Row],[اللبناني]]/90)</f>
        <v>0</v>
      </c>
      <c r="M152" s="6"/>
    </row>
    <row r="153" spans="8:13" s="8" customFormat="1" x14ac:dyDescent="0.3">
      <c r="H153" s="5" t="s">
        <v>144</v>
      </c>
      <c r="I153" s="21"/>
      <c r="J153" s="13"/>
      <c r="L153" s="26">
        <f>Table134567810111213141516171819202122232425262728303132[[#This Row],[الدولار]]+(Table134567810111213141516171819202122232425262728303132[[#This Row],[اللبناني]]/90)</f>
        <v>0</v>
      </c>
      <c r="M153" s="6"/>
    </row>
    <row r="154" spans="8:13" s="8" customFormat="1" x14ac:dyDescent="0.3">
      <c r="H154" s="5" t="s">
        <v>144</v>
      </c>
      <c r="I154" s="21"/>
      <c r="J154" s="13"/>
      <c r="L154" s="26">
        <f>Table134567810111213141516171819202122232425262728303132[[#This Row],[الدولار]]+(Table134567810111213141516171819202122232425262728303132[[#This Row],[اللبناني]]/90)</f>
        <v>0</v>
      </c>
      <c r="M154" s="6"/>
    </row>
    <row r="155" spans="8:13" s="8" customFormat="1" x14ac:dyDescent="0.3">
      <c r="H155" s="5" t="s">
        <v>144</v>
      </c>
      <c r="I155" s="21"/>
      <c r="J155" s="13"/>
      <c r="L155" s="26">
        <f>Table134567810111213141516171819202122232425262728303132[[#This Row],[الدولار]]+(Table134567810111213141516171819202122232425262728303132[[#This Row],[اللبناني]]/90)</f>
        <v>0</v>
      </c>
      <c r="M155" s="6"/>
    </row>
    <row r="156" spans="8:13" s="8" customFormat="1" x14ac:dyDescent="0.3">
      <c r="H156" s="5" t="s">
        <v>144</v>
      </c>
      <c r="I156" s="21"/>
      <c r="J156" s="13"/>
      <c r="L156" s="26">
        <f>Table134567810111213141516171819202122232425262728303132[[#This Row],[الدولار]]+(Table134567810111213141516171819202122232425262728303132[[#This Row],[اللبناني]]/90)</f>
        <v>0</v>
      </c>
      <c r="M156" s="6"/>
    </row>
    <row r="157" spans="8:13" s="8" customFormat="1" x14ac:dyDescent="0.3">
      <c r="H157" s="5" t="s">
        <v>144</v>
      </c>
      <c r="I157" s="21"/>
      <c r="J157" s="13"/>
      <c r="L157" s="26">
        <f>Table134567810111213141516171819202122232425262728303132[[#This Row],[الدولار]]+(Table134567810111213141516171819202122232425262728303132[[#This Row],[اللبناني]]/90)</f>
        <v>0</v>
      </c>
      <c r="M157" s="6"/>
    </row>
    <row r="158" spans="8:13" s="8" customFormat="1" x14ac:dyDescent="0.3">
      <c r="H158" s="5" t="s">
        <v>144</v>
      </c>
      <c r="I158" s="21"/>
      <c r="J158" s="13"/>
      <c r="L158" s="26">
        <f>Table134567810111213141516171819202122232425262728303132[[#This Row],[الدولار]]+(Table134567810111213141516171819202122232425262728303132[[#This Row],[اللبناني]]/90)</f>
        <v>0</v>
      </c>
      <c r="M158" s="6"/>
    </row>
    <row r="159" spans="8:13" s="8" customFormat="1" x14ac:dyDescent="0.3">
      <c r="H159" s="5" t="s">
        <v>144</v>
      </c>
      <c r="I159" s="21"/>
      <c r="J159" s="13"/>
      <c r="L159" s="26">
        <f>Table134567810111213141516171819202122232425262728303132[[#This Row],[الدولار]]+(Table134567810111213141516171819202122232425262728303132[[#This Row],[اللبناني]]/90)</f>
        <v>0</v>
      </c>
      <c r="M159" s="6"/>
    </row>
    <row r="160" spans="8:13" s="8" customFormat="1" x14ac:dyDescent="0.3">
      <c r="H160" s="5" t="s">
        <v>144</v>
      </c>
      <c r="I160" s="21"/>
      <c r="J160" s="13"/>
      <c r="L160" s="26">
        <f>Table134567810111213141516171819202122232425262728303132[[#This Row],[الدولار]]+(Table134567810111213141516171819202122232425262728303132[[#This Row],[اللبناني]]/90)</f>
        <v>0</v>
      </c>
      <c r="M160" s="6"/>
    </row>
    <row r="161" spans="8:13" s="8" customFormat="1" x14ac:dyDescent="0.3">
      <c r="H161" s="5" t="s">
        <v>144</v>
      </c>
      <c r="I161" s="21"/>
      <c r="J161" s="13"/>
      <c r="L161" s="26">
        <f>Table134567810111213141516171819202122232425262728303132[[#This Row],[الدولار]]+(Table134567810111213141516171819202122232425262728303132[[#This Row],[اللبناني]]/90)</f>
        <v>0</v>
      </c>
      <c r="M161" s="6"/>
    </row>
    <row r="162" spans="8:13" s="8" customFormat="1" x14ac:dyDescent="0.3">
      <c r="H162" s="5" t="s">
        <v>144</v>
      </c>
      <c r="I162" s="21"/>
      <c r="J162" s="13"/>
      <c r="L162" s="26">
        <f>Table134567810111213141516171819202122232425262728303132[[#This Row],[الدولار]]+(Table134567810111213141516171819202122232425262728303132[[#This Row],[اللبناني]]/90)</f>
        <v>0</v>
      </c>
      <c r="M162" s="6"/>
    </row>
    <row r="163" spans="8:13" s="8" customFormat="1" x14ac:dyDescent="0.3">
      <c r="H163" s="5" t="s">
        <v>144</v>
      </c>
      <c r="I163" s="21"/>
      <c r="J163" s="13"/>
      <c r="L163" s="26">
        <f>Table134567810111213141516171819202122232425262728303132[[#This Row],[الدولار]]+(Table134567810111213141516171819202122232425262728303132[[#This Row],[اللبناني]]/90)</f>
        <v>0</v>
      </c>
      <c r="M163" s="6"/>
    </row>
    <row r="164" spans="8:13" s="8" customFormat="1" x14ac:dyDescent="0.3">
      <c r="H164" s="5" t="s">
        <v>144</v>
      </c>
      <c r="I164" s="21"/>
      <c r="J164" s="13"/>
      <c r="L164" s="26">
        <f>Table134567810111213141516171819202122232425262728303132[[#This Row],[الدولار]]+(Table134567810111213141516171819202122232425262728303132[[#This Row],[اللبناني]]/90)</f>
        <v>0</v>
      </c>
      <c r="M164" s="6"/>
    </row>
    <row r="165" spans="8:13" s="8" customFormat="1" x14ac:dyDescent="0.3">
      <c r="H165" s="5" t="s">
        <v>144</v>
      </c>
      <c r="I165" s="21"/>
      <c r="J165" s="13"/>
      <c r="L165" s="26">
        <f>Table134567810111213141516171819202122232425262728303132[[#This Row],[الدولار]]+(Table134567810111213141516171819202122232425262728303132[[#This Row],[اللبناني]]/90)</f>
        <v>0</v>
      </c>
      <c r="M165" s="6"/>
    </row>
    <row r="166" spans="8:13" s="8" customFormat="1" x14ac:dyDescent="0.3">
      <c r="H166" s="5" t="s">
        <v>144</v>
      </c>
      <c r="I166" s="21"/>
      <c r="J166" s="13"/>
      <c r="L166" s="26">
        <f>Table134567810111213141516171819202122232425262728303132[[#This Row],[الدولار]]+(Table134567810111213141516171819202122232425262728303132[[#This Row],[اللبناني]]/90)</f>
        <v>0</v>
      </c>
      <c r="M166" s="6"/>
    </row>
    <row r="167" spans="8:13" s="8" customFormat="1" x14ac:dyDescent="0.3">
      <c r="H167" s="5" t="s">
        <v>144</v>
      </c>
      <c r="I167" s="21"/>
      <c r="J167" s="13"/>
      <c r="L167" s="26">
        <f>Table134567810111213141516171819202122232425262728303132[[#This Row],[الدولار]]+(Table134567810111213141516171819202122232425262728303132[[#This Row],[اللبناني]]/90)</f>
        <v>0</v>
      </c>
      <c r="M167" s="6"/>
    </row>
    <row r="168" spans="8:13" s="8" customFormat="1" x14ac:dyDescent="0.3">
      <c r="H168" s="5" t="s">
        <v>144</v>
      </c>
      <c r="I168" s="21"/>
      <c r="J168" s="13"/>
      <c r="L168" s="26">
        <f>Table134567810111213141516171819202122232425262728303132[[#This Row],[الدولار]]+(Table134567810111213141516171819202122232425262728303132[[#This Row],[اللبناني]]/90)</f>
        <v>0</v>
      </c>
      <c r="M168" s="6"/>
    </row>
    <row r="169" spans="8:13" s="8" customFormat="1" x14ac:dyDescent="0.3">
      <c r="H169" s="5" t="s">
        <v>144</v>
      </c>
      <c r="I169" s="21"/>
      <c r="J169" s="13"/>
      <c r="L169" s="26">
        <f>Table134567810111213141516171819202122232425262728303132[[#This Row],[الدولار]]+(Table134567810111213141516171819202122232425262728303132[[#This Row],[اللبناني]]/90)</f>
        <v>0</v>
      </c>
      <c r="M169" s="6"/>
    </row>
    <row r="170" spans="8:13" s="8" customFormat="1" x14ac:dyDescent="0.3">
      <c r="H170" s="5" t="s">
        <v>144</v>
      </c>
      <c r="I170" s="21"/>
      <c r="J170" s="13"/>
      <c r="L170" s="26">
        <f>Table134567810111213141516171819202122232425262728303132[[#This Row],[الدولار]]+(Table134567810111213141516171819202122232425262728303132[[#This Row],[اللبناني]]/90)</f>
        <v>0</v>
      </c>
      <c r="M170" s="6"/>
    </row>
    <row r="171" spans="8:13" s="8" customFormat="1" x14ac:dyDescent="0.3">
      <c r="H171" s="5" t="s">
        <v>144</v>
      </c>
      <c r="I171" s="21"/>
      <c r="J171" s="13"/>
      <c r="L171" s="26">
        <f>Table134567810111213141516171819202122232425262728303132[[#This Row],[الدولار]]+(Table134567810111213141516171819202122232425262728303132[[#This Row],[اللبناني]]/90)</f>
        <v>0</v>
      </c>
      <c r="M171" s="6"/>
    </row>
    <row r="172" spans="8:13" s="8" customFormat="1" x14ac:dyDescent="0.3">
      <c r="H172" s="5" t="s">
        <v>144</v>
      </c>
      <c r="I172" s="21"/>
      <c r="J172" s="13"/>
      <c r="L172" s="26">
        <f>Table134567810111213141516171819202122232425262728303132[[#This Row],[الدولار]]+(Table134567810111213141516171819202122232425262728303132[[#This Row],[اللبناني]]/90)</f>
        <v>0</v>
      </c>
      <c r="M172" s="6"/>
    </row>
    <row r="173" spans="8:13" s="8" customFormat="1" x14ac:dyDescent="0.3">
      <c r="H173" s="5" t="s">
        <v>144</v>
      </c>
      <c r="I173" s="21"/>
      <c r="J173" s="13"/>
      <c r="L173" s="26">
        <f>Table134567810111213141516171819202122232425262728303132[[#This Row],[الدولار]]+(Table134567810111213141516171819202122232425262728303132[[#This Row],[اللبناني]]/90)</f>
        <v>0</v>
      </c>
      <c r="M173" s="6"/>
    </row>
    <row r="174" spans="8:13" s="8" customFormat="1" x14ac:dyDescent="0.3">
      <c r="H174" s="5" t="s">
        <v>144</v>
      </c>
      <c r="I174" s="21"/>
      <c r="J174" s="13"/>
      <c r="L174" s="26">
        <f>Table134567810111213141516171819202122232425262728303132[[#This Row],[الدولار]]+(Table134567810111213141516171819202122232425262728303132[[#This Row],[اللبناني]]/90)</f>
        <v>0</v>
      </c>
      <c r="M174" s="6"/>
    </row>
    <row r="175" spans="8:13" s="8" customFormat="1" x14ac:dyDescent="0.3">
      <c r="H175" s="5" t="s">
        <v>144</v>
      </c>
      <c r="I175" s="21"/>
      <c r="J175" s="13"/>
      <c r="L175" s="26">
        <f>Table134567810111213141516171819202122232425262728303132[[#This Row],[الدولار]]+(Table134567810111213141516171819202122232425262728303132[[#This Row],[اللبناني]]/90)</f>
        <v>0</v>
      </c>
      <c r="M175" s="6"/>
    </row>
    <row r="176" spans="8:13" s="8" customFormat="1" x14ac:dyDescent="0.3">
      <c r="H176" s="5" t="s">
        <v>144</v>
      </c>
      <c r="I176" s="21"/>
      <c r="J176" s="13"/>
      <c r="L176" s="26">
        <f>Table134567810111213141516171819202122232425262728303132[[#This Row],[الدولار]]+(Table134567810111213141516171819202122232425262728303132[[#This Row],[اللبناني]]/90)</f>
        <v>0</v>
      </c>
      <c r="M176" s="6"/>
    </row>
    <row r="177" spans="8:13" s="8" customFormat="1" x14ac:dyDescent="0.3">
      <c r="H177" s="5" t="s">
        <v>144</v>
      </c>
      <c r="I177" s="21"/>
      <c r="J177" s="13"/>
      <c r="L177" s="26">
        <f>Table134567810111213141516171819202122232425262728303132[[#This Row],[الدولار]]+(Table134567810111213141516171819202122232425262728303132[[#This Row],[اللبناني]]/90)</f>
        <v>0</v>
      </c>
      <c r="M177" s="6"/>
    </row>
    <row r="178" spans="8:13" s="8" customFormat="1" x14ac:dyDescent="0.3">
      <c r="H178" s="5" t="s">
        <v>144</v>
      </c>
      <c r="I178" s="21"/>
      <c r="J178" s="13"/>
      <c r="L178" s="26">
        <f>Table134567810111213141516171819202122232425262728303132[[#This Row],[الدولار]]+(Table134567810111213141516171819202122232425262728303132[[#This Row],[اللبناني]]/90)</f>
        <v>0</v>
      </c>
      <c r="M178" s="6"/>
    </row>
    <row r="179" spans="8:13" s="8" customFormat="1" x14ac:dyDescent="0.3">
      <c r="H179" s="5" t="s">
        <v>144</v>
      </c>
      <c r="I179" s="21"/>
      <c r="J179" s="13"/>
      <c r="L179" s="26">
        <f>Table134567810111213141516171819202122232425262728303132[[#This Row],[الدولار]]+(Table134567810111213141516171819202122232425262728303132[[#This Row],[اللبناني]]/90)</f>
        <v>0</v>
      </c>
      <c r="M179" s="6"/>
    </row>
    <row r="180" spans="8:13" s="8" customFormat="1" x14ac:dyDescent="0.3">
      <c r="H180" s="5" t="s">
        <v>144</v>
      </c>
      <c r="I180" s="21"/>
      <c r="J180" s="13"/>
      <c r="L180" s="26">
        <f>Table134567810111213141516171819202122232425262728303132[[#This Row],[الدولار]]+(Table134567810111213141516171819202122232425262728303132[[#This Row],[اللبناني]]/90)</f>
        <v>0</v>
      </c>
      <c r="M180" s="6"/>
    </row>
    <row r="181" spans="8:13" s="8" customFormat="1" x14ac:dyDescent="0.3">
      <c r="H181" s="5" t="s">
        <v>144</v>
      </c>
      <c r="I181" s="21"/>
      <c r="J181" s="13"/>
      <c r="L181" s="26">
        <f>Table134567810111213141516171819202122232425262728303132[[#This Row],[الدولار]]+(Table134567810111213141516171819202122232425262728303132[[#This Row],[اللبناني]]/90)</f>
        <v>0</v>
      </c>
      <c r="M181" s="6"/>
    </row>
    <row r="182" spans="8:13" s="8" customFormat="1" x14ac:dyDescent="0.3">
      <c r="H182" s="5" t="s">
        <v>144</v>
      </c>
      <c r="I182" s="21"/>
      <c r="J182" s="13"/>
      <c r="L182" s="26">
        <f>Table134567810111213141516171819202122232425262728303132[[#This Row],[الدولار]]+(Table134567810111213141516171819202122232425262728303132[[#This Row],[اللبناني]]/90)</f>
        <v>0</v>
      </c>
      <c r="M182" s="6"/>
    </row>
    <row r="183" spans="8:13" s="8" customFormat="1" x14ac:dyDescent="0.3">
      <c r="H183" s="5" t="s">
        <v>144</v>
      </c>
      <c r="I183" s="21"/>
      <c r="J183" s="13"/>
      <c r="L183" s="26">
        <f>Table134567810111213141516171819202122232425262728303132[[#This Row],[الدولار]]+(Table134567810111213141516171819202122232425262728303132[[#This Row],[اللبناني]]/90)</f>
        <v>0</v>
      </c>
      <c r="M183" s="6"/>
    </row>
    <row r="184" spans="8:13" s="8" customFormat="1" x14ac:dyDescent="0.3">
      <c r="H184" s="5" t="s">
        <v>144</v>
      </c>
      <c r="I184" s="21"/>
      <c r="J184" s="13"/>
      <c r="L184" s="26">
        <f>Table134567810111213141516171819202122232425262728303132[[#This Row],[الدولار]]+(Table134567810111213141516171819202122232425262728303132[[#This Row],[اللبناني]]/90)</f>
        <v>0</v>
      </c>
      <c r="M184" s="6"/>
    </row>
    <row r="185" spans="8:13" s="8" customFormat="1" x14ac:dyDescent="0.3">
      <c r="H185" s="5" t="s">
        <v>144</v>
      </c>
      <c r="I185" s="21"/>
      <c r="J185" s="13"/>
      <c r="L185" s="26">
        <f>Table134567810111213141516171819202122232425262728303132[[#This Row],[الدولار]]+(Table134567810111213141516171819202122232425262728303132[[#This Row],[اللبناني]]/90)</f>
        <v>0</v>
      </c>
      <c r="M185" s="6"/>
    </row>
    <row r="186" spans="8:13" s="8" customFormat="1" x14ac:dyDescent="0.3">
      <c r="H186" s="5" t="s">
        <v>144</v>
      </c>
      <c r="I186" s="21"/>
      <c r="J186" s="13"/>
      <c r="L186" s="26">
        <f>Table134567810111213141516171819202122232425262728303132[[#This Row],[الدولار]]+(Table134567810111213141516171819202122232425262728303132[[#This Row],[اللبناني]]/90)</f>
        <v>0</v>
      </c>
      <c r="M186" s="6"/>
    </row>
    <row r="187" spans="8:13" s="8" customFormat="1" x14ac:dyDescent="0.3">
      <c r="H187" s="5" t="s">
        <v>144</v>
      </c>
      <c r="I187" s="21"/>
      <c r="J187" s="13"/>
      <c r="L187" s="26">
        <f>Table134567810111213141516171819202122232425262728303132[[#This Row],[الدولار]]+(Table134567810111213141516171819202122232425262728303132[[#This Row],[اللبناني]]/90)</f>
        <v>0</v>
      </c>
      <c r="M187" s="6"/>
    </row>
    <row r="188" spans="8:13" s="8" customFormat="1" x14ac:dyDescent="0.3">
      <c r="H188" s="5" t="s">
        <v>144</v>
      </c>
      <c r="I188" s="21"/>
      <c r="J188" s="13"/>
      <c r="L188" s="26">
        <f>Table134567810111213141516171819202122232425262728303132[[#This Row],[الدولار]]+(Table134567810111213141516171819202122232425262728303132[[#This Row],[اللبناني]]/90)</f>
        <v>0</v>
      </c>
      <c r="M188" s="6"/>
    </row>
    <row r="189" spans="8:13" s="8" customFormat="1" x14ac:dyDescent="0.3">
      <c r="H189" s="5" t="s">
        <v>144</v>
      </c>
      <c r="I189" s="21"/>
      <c r="J189" s="13"/>
      <c r="L189" s="26">
        <f>Table134567810111213141516171819202122232425262728303132[[#This Row],[الدولار]]+(Table134567810111213141516171819202122232425262728303132[[#This Row],[اللبناني]]/90)</f>
        <v>0</v>
      </c>
      <c r="M189" s="6"/>
    </row>
    <row r="190" spans="8:13" s="8" customFormat="1" x14ac:dyDescent="0.3">
      <c r="H190" s="5" t="s">
        <v>144</v>
      </c>
      <c r="I190" s="21"/>
      <c r="J190" s="13"/>
      <c r="L190" s="26">
        <f>Table134567810111213141516171819202122232425262728303132[[#This Row],[الدولار]]+(Table134567810111213141516171819202122232425262728303132[[#This Row],[اللبناني]]/90)</f>
        <v>0</v>
      </c>
      <c r="M190" s="6"/>
    </row>
    <row r="191" spans="8:13" s="8" customFormat="1" x14ac:dyDescent="0.3">
      <c r="H191" s="5" t="s">
        <v>144</v>
      </c>
      <c r="I191" s="21"/>
      <c r="J191" s="13"/>
      <c r="L191" s="26">
        <f>Table134567810111213141516171819202122232425262728303132[[#This Row],[الدولار]]+(Table134567810111213141516171819202122232425262728303132[[#This Row],[اللبناني]]/90)</f>
        <v>0</v>
      </c>
      <c r="M191" s="6"/>
    </row>
    <row r="192" spans="8:13" s="8" customFormat="1" x14ac:dyDescent="0.3">
      <c r="H192" s="5" t="s">
        <v>144</v>
      </c>
      <c r="I192" s="21"/>
      <c r="J192" s="13"/>
      <c r="L192" s="26">
        <f>Table134567810111213141516171819202122232425262728303132[[#This Row],[الدولار]]+(Table134567810111213141516171819202122232425262728303132[[#This Row],[اللبناني]]/90)</f>
        <v>0</v>
      </c>
      <c r="M192" s="6"/>
    </row>
    <row r="193" spans="8:13" s="8" customFormat="1" x14ac:dyDescent="0.3">
      <c r="H193" s="5" t="s">
        <v>144</v>
      </c>
      <c r="I193" s="21"/>
      <c r="J193" s="13"/>
      <c r="L193" s="26">
        <f>Table134567810111213141516171819202122232425262728303132[[#This Row],[الدولار]]+(Table134567810111213141516171819202122232425262728303132[[#This Row],[اللبناني]]/90)</f>
        <v>0</v>
      </c>
      <c r="M193" s="6"/>
    </row>
    <row r="194" spans="8:13" s="8" customFormat="1" x14ac:dyDescent="0.3">
      <c r="H194" s="5" t="s">
        <v>144</v>
      </c>
      <c r="I194" s="21"/>
      <c r="J194" s="13"/>
      <c r="L194" s="26">
        <f>Table134567810111213141516171819202122232425262728303132[[#This Row],[الدولار]]+(Table134567810111213141516171819202122232425262728303132[[#This Row],[اللبناني]]/90)</f>
        <v>0</v>
      </c>
      <c r="M194" s="6"/>
    </row>
    <row r="195" spans="8:13" s="8" customFormat="1" x14ac:dyDescent="0.3">
      <c r="H195" s="5" t="s">
        <v>144</v>
      </c>
      <c r="I195" s="21"/>
      <c r="J195" s="13"/>
      <c r="L195" s="26">
        <f>Table134567810111213141516171819202122232425262728303132[[#This Row],[الدولار]]+(Table134567810111213141516171819202122232425262728303132[[#This Row],[اللبناني]]/90)</f>
        <v>0</v>
      </c>
      <c r="M195" s="6"/>
    </row>
    <row r="196" spans="8:13" s="8" customFormat="1" x14ac:dyDescent="0.3">
      <c r="H196" s="5" t="s">
        <v>144</v>
      </c>
      <c r="I196" s="21"/>
      <c r="J196" s="13"/>
      <c r="L196" s="26">
        <f>Table134567810111213141516171819202122232425262728303132[[#This Row],[الدولار]]+(Table134567810111213141516171819202122232425262728303132[[#This Row],[اللبناني]]/90)</f>
        <v>0</v>
      </c>
      <c r="M196" s="6"/>
    </row>
    <row r="197" spans="8:13" s="8" customFormat="1" x14ac:dyDescent="0.3">
      <c r="H197" s="5" t="s">
        <v>144</v>
      </c>
      <c r="I197" s="21"/>
      <c r="J197" s="13"/>
      <c r="L197" s="26">
        <f>Table134567810111213141516171819202122232425262728303132[[#This Row],[الدولار]]+(Table134567810111213141516171819202122232425262728303132[[#This Row],[اللبناني]]/90)</f>
        <v>0</v>
      </c>
      <c r="M197" s="6"/>
    </row>
    <row r="198" spans="8:13" s="8" customFormat="1" x14ac:dyDescent="0.3">
      <c r="H198" s="5" t="s">
        <v>144</v>
      </c>
      <c r="I198" s="21"/>
      <c r="J198" s="13"/>
      <c r="L198" s="26">
        <f>Table134567810111213141516171819202122232425262728303132[[#This Row],[الدولار]]+(Table134567810111213141516171819202122232425262728303132[[#This Row],[اللبناني]]/90)</f>
        <v>0</v>
      </c>
      <c r="M198" s="6"/>
    </row>
    <row r="199" spans="8:13" s="8" customFormat="1" x14ac:dyDescent="0.3">
      <c r="H199" s="5" t="s">
        <v>144</v>
      </c>
      <c r="I199" s="21"/>
      <c r="J199" s="13"/>
      <c r="L199" s="26">
        <f>Table134567810111213141516171819202122232425262728303132[[#This Row],[الدولار]]+(Table134567810111213141516171819202122232425262728303132[[#This Row],[اللبناني]]/90)</f>
        <v>0</v>
      </c>
      <c r="M199" s="6"/>
    </row>
    <row r="200" spans="8:13" s="8" customFormat="1" x14ac:dyDescent="0.3">
      <c r="H200" s="5" t="s">
        <v>144</v>
      </c>
      <c r="I200" s="21"/>
      <c r="J200" s="13"/>
      <c r="L200" s="26">
        <f>Table134567810111213141516171819202122232425262728303132[[#This Row],[الدولار]]+(Table134567810111213141516171819202122232425262728303132[[#This Row],[اللبناني]]/90)</f>
        <v>0</v>
      </c>
      <c r="M200" s="6"/>
    </row>
    <row r="201" spans="8:13" s="8" customFormat="1" x14ac:dyDescent="0.3">
      <c r="H201" s="5" t="s">
        <v>144</v>
      </c>
      <c r="I201" s="21"/>
      <c r="J201" s="13"/>
      <c r="L201" s="26">
        <f>Table134567810111213141516171819202122232425262728303132[[#This Row],[الدولار]]+(Table134567810111213141516171819202122232425262728303132[[#This Row],[اللبناني]]/90)</f>
        <v>0</v>
      </c>
      <c r="M201" s="6"/>
    </row>
    <row r="202" spans="8:13" s="8" customFormat="1" x14ac:dyDescent="0.3">
      <c r="H202" s="5" t="s">
        <v>144</v>
      </c>
      <c r="I202" s="21"/>
      <c r="J202" s="13"/>
      <c r="L202" s="26">
        <f>Table134567810111213141516171819202122232425262728303132[[#This Row],[الدولار]]+(Table134567810111213141516171819202122232425262728303132[[#This Row],[اللبناني]]/90)</f>
        <v>0</v>
      </c>
      <c r="M202" s="6"/>
    </row>
    <row r="203" spans="8:13" s="8" customFormat="1" x14ac:dyDescent="0.3">
      <c r="H203" s="5" t="s">
        <v>144</v>
      </c>
      <c r="I203" s="21"/>
      <c r="J203" s="13"/>
      <c r="L203" s="26">
        <f>Table134567810111213141516171819202122232425262728303132[[#This Row],[الدولار]]+(Table134567810111213141516171819202122232425262728303132[[#This Row],[اللبناني]]/90)</f>
        <v>0</v>
      </c>
      <c r="M203" s="6"/>
    </row>
    <row r="204" spans="8:13" s="8" customFormat="1" x14ac:dyDescent="0.3">
      <c r="H204" s="5" t="s">
        <v>144</v>
      </c>
      <c r="I204" s="21"/>
      <c r="J204" s="13"/>
      <c r="L204" s="26">
        <f>Table134567810111213141516171819202122232425262728303132[[#This Row],[الدولار]]+(Table134567810111213141516171819202122232425262728303132[[#This Row],[اللبناني]]/90)</f>
        <v>0</v>
      </c>
      <c r="M204" s="6"/>
    </row>
    <row r="205" spans="8:13" s="8" customFormat="1" x14ac:dyDescent="0.3">
      <c r="H205" s="5" t="s">
        <v>144</v>
      </c>
      <c r="I205" s="21"/>
      <c r="J205" s="13"/>
      <c r="L205" s="26">
        <f>Table134567810111213141516171819202122232425262728303132[[#This Row],[الدولار]]+(Table134567810111213141516171819202122232425262728303132[[#This Row],[اللبناني]]/90)</f>
        <v>0</v>
      </c>
      <c r="M205" s="6"/>
    </row>
    <row r="206" spans="8:13" s="8" customFormat="1" x14ac:dyDescent="0.3">
      <c r="H206" s="5" t="s">
        <v>144</v>
      </c>
      <c r="I206" s="21"/>
      <c r="J206" s="13"/>
      <c r="L206" s="26">
        <f>Table134567810111213141516171819202122232425262728303132[[#This Row],[الدولار]]+(Table134567810111213141516171819202122232425262728303132[[#This Row],[اللبناني]]/90)</f>
        <v>0</v>
      </c>
      <c r="M206" s="6"/>
    </row>
    <row r="207" spans="8:13" s="8" customFormat="1" x14ac:dyDescent="0.3">
      <c r="H207" s="5" t="s">
        <v>144</v>
      </c>
      <c r="I207" s="21"/>
      <c r="J207" s="13"/>
      <c r="L207" s="26">
        <f>Table134567810111213141516171819202122232425262728303132[[#This Row],[الدولار]]+(Table134567810111213141516171819202122232425262728303132[[#This Row],[اللبناني]]/90)</f>
        <v>0</v>
      </c>
      <c r="M207" s="6"/>
    </row>
    <row r="208" spans="8:13" s="8" customFormat="1" x14ac:dyDescent="0.3">
      <c r="H208" s="5" t="s">
        <v>144</v>
      </c>
      <c r="I208" s="21"/>
      <c r="J208" s="13"/>
      <c r="L208" s="26">
        <f>Table134567810111213141516171819202122232425262728303132[[#This Row],[الدولار]]+(Table134567810111213141516171819202122232425262728303132[[#This Row],[اللبناني]]/90)</f>
        <v>0</v>
      </c>
      <c r="M208" s="6"/>
    </row>
    <row r="209" spans="8:13" s="8" customFormat="1" x14ac:dyDescent="0.3">
      <c r="H209" s="5" t="s">
        <v>144</v>
      </c>
      <c r="I209" s="21"/>
      <c r="J209" s="13"/>
      <c r="L209" s="26">
        <f>Table134567810111213141516171819202122232425262728303132[[#This Row],[الدولار]]+(Table134567810111213141516171819202122232425262728303132[[#This Row],[اللبناني]]/90)</f>
        <v>0</v>
      </c>
      <c r="M209" s="6"/>
    </row>
    <row r="210" spans="8:13" s="8" customFormat="1" x14ac:dyDescent="0.3">
      <c r="H210" s="5" t="s">
        <v>144</v>
      </c>
      <c r="I210" s="21"/>
      <c r="J210" s="13"/>
      <c r="L210" s="26">
        <f>Table134567810111213141516171819202122232425262728303132[[#This Row],[الدولار]]+(Table134567810111213141516171819202122232425262728303132[[#This Row],[اللبناني]]/90)</f>
        <v>0</v>
      </c>
      <c r="M210" s="6"/>
    </row>
    <row r="211" spans="8:13" s="8" customFormat="1" x14ac:dyDescent="0.3">
      <c r="H211" s="5" t="s">
        <v>144</v>
      </c>
      <c r="I211" s="21"/>
      <c r="J211" s="13"/>
      <c r="L211" s="26">
        <f>Table134567810111213141516171819202122232425262728303132[[#This Row],[الدولار]]+(Table134567810111213141516171819202122232425262728303132[[#This Row],[اللبناني]]/90)</f>
        <v>0</v>
      </c>
      <c r="M211" s="6"/>
    </row>
    <row r="212" spans="8:13" s="8" customFormat="1" x14ac:dyDescent="0.3">
      <c r="H212" s="5" t="s">
        <v>144</v>
      </c>
      <c r="I212" s="21"/>
      <c r="J212" s="13"/>
      <c r="L212" s="26">
        <f>Table134567810111213141516171819202122232425262728303132[[#This Row],[الدولار]]+(Table134567810111213141516171819202122232425262728303132[[#This Row],[اللبناني]]/90)</f>
        <v>0</v>
      </c>
      <c r="M212" s="6"/>
    </row>
    <row r="213" spans="8:13" s="8" customFormat="1" x14ac:dyDescent="0.3">
      <c r="H213" s="5" t="s">
        <v>144</v>
      </c>
      <c r="I213" s="21"/>
      <c r="J213" s="13"/>
      <c r="L213" s="26">
        <f>Table134567810111213141516171819202122232425262728303132[[#This Row],[الدولار]]+(Table134567810111213141516171819202122232425262728303132[[#This Row],[اللبناني]]/90)</f>
        <v>0</v>
      </c>
      <c r="M213" s="6"/>
    </row>
    <row r="214" spans="8:13" s="8" customFormat="1" x14ac:dyDescent="0.3">
      <c r="H214" s="5" t="s">
        <v>144</v>
      </c>
      <c r="I214" s="21"/>
      <c r="J214" s="13"/>
      <c r="L214" s="26">
        <f>Table134567810111213141516171819202122232425262728303132[[#This Row],[الدولار]]+(Table134567810111213141516171819202122232425262728303132[[#This Row],[اللبناني]]/90)</f>
        <v>0</v>
      </c>
      <c r="M214" s="6"/>
    </row>
    <row r="215" spans="8:13" s="8" customFormat="1" x14ac:dyDescent="0.3">
      <c r="H215" s="5" t="s">
        <v>144</v>
      </c>
      <c r="I215" s="21"/>
      <c r="J215" s="13"/>
      <c r="L215" s="26">
        <f>Table134567810111213141516171819202122232425262728303132[[#This Row],[الدولار]]+(Table134567810111213141516171819202122232425262728303132[[#This Row],[اللبناني]]/90)</f>
        <v>0</v>
      </c>
      <c r="M215" s="6"/>
    </row>
    <row r="216" spans="8:13" s="8" customFormat="1" x14ac:dyDescent="0.3">
      <c r="H216" s="5" t="s">
        <v>144</v>
      </c>
      <c r="I216" s="21"/>
      <c r="J216" s="13"/>
      <c r="L216" s="26">
        <f>Table134567810111213141516171819202122232425262728303132[[#This Row],[الدولار]]+(Table134567810111213141516171819202122232425262728303132[[#This Row],[اللبناني]]/90)</f>
        <v>0</v>
      </c>
      <c r="M216" s="6"/>
    </row>
    <row r="217" spans="8:13" s="8" customFormat="1" x14ac:dyDescent="0.3">
      <c r="H217" s="5" t="s">
        <v>144</v>
      </c>
      <c r="I217" s="21"/>
      <c r="J217" s="13"/>
      <c r="L217" s="26">
        <f>Table134567810111213141516171819202122232425262728303132[[#This Row],[الدولار]]+(Table134567810111213141516171819202122232425262728303132[[#This Row],[اللبناني]]/90)</f>
        <v>0</v>
      </c>
      <c r="M217" s="6"/>
    </row>
    <row r="218" spans="8:13" s="8" customFormat="1" x14ac:dyDescent="0.3">
      <c r="H218" s="5" t="s">
        <v>144</v>
      </c>
      <c r="I218" s="21"/>
      <c r="J218" s="13"/>
      <c r="L218" s="26">
        <f>Table134567810111213141516171819202122232425262728303132[[#This Row],[الدولار]]+(Table134567810111213141516171819202122232425262728303132[[#This Row],[اللبناني]]/90)</f>
        <v>0</v>
      </c>
      <c r="M218" s="6"/>
    </row>
    <row r="219" spans="8:13" s="8" customFormat="1" x14ac:dyDescent="0.3">
      <c r="H219" s="5" t="s">
        <v>144</v>
      </c>
      <c r="I219" s="21"/>
      <c r="J219" s="13"/>
      <c r="L219" s="26">
        <f>Table134567810111213141516171819202122232425262728303132[[#This Row],[الدولار]]+(Table134567810111213141516171819202122232425262728303132[[#This Row],[اللبناني]]/90)</f>
        <v>0</v>
      </c>
      <c r="M219" s="6"/>
    </row>
    <row r="220" spans="8:13" s="8" customFormat="1" x14ac:dyDescent="0.3">
      <c r="H220" s="5" t="s">
        <v>144</v>
      </c>
      <c r="I220" s="21"/>
      <c r="J220" s="13"/>
      <c r="L220" s="26">
        <f>Table134567810111213141516171819202122232425262728303132[[#This Row],[الدولار]]+(Table134567810111213141516171819202122232425262728303132[[#This Row],[اللبناني]]/90)</f>
        <v>0</v>
      </c>
      <c r="M220" s="6"/>
    </row>
    <row r="221" spans="8:13" s="8" customFormat="1" x14ac:dyDescent="0.3">
      <c r="H221" s="5" t="s">
        <v>144</v>
      </c>
      <c r="I221" s="21"/>
      <c r="J221" s="13"/>
      <c r="L221" s="26">
        <f>Table134567810111213141516171819202122232425262728303132[[#This Row],[الدولار]]+(Table134567810111213141516171819202122232425262728303132[[#This Row],[اللبناني]]/90)</f>
        <v>0</v>
      </c>
      <c r="M221" s="6"/>
    </row>
    <row r="222" spans="8:13" s="8" customFormat="1" x14ac:dyDescent="0.3">
      <c r="H222" s="5" t="s">
        <v>144</v>
      </c>
      <c r="I222" s="21"/>
      <c r="J222" s="13"/>
      <c r="L222" s="26">
        <f>Table134567810111213141516171819202122232425262728303132[[#This Row],[الدولار]]+(Table134567810111213141516171819202122232425262728303132[[#This Row],[اللبناني]]/90)</f>
        <v>0</v>
      </c>
      <c r="M222" s="6"/>
    </row>
    <row r="223" spans="8:13" s="8" customFormat="1" x14ac:dyDescent="0.3">
      <c r="H223" s="5" t="s">
        <v>144</v>
      </c>
      <c r="I223" s="21"/>
      <c r="J223" s="13"/>
      <c r="L223" s="26">
        <f>Table134567810111213141516171819202122232425262728303132[[#This Row],[الدولار]]+(Table134567810111213141516171819202122232425262728303132[[#This Row],[اللبناني]]/90)</f>
        <v>0</v>
      </c>
      <c r="M223" s="6"/>
    </row>
    <row r="224" spans="8:13" s="8" customFormat="1" x14ac:dyDescent="0.3">
      <c r="H224" s="5" t="s">
        <v>144</v>
      </c>
      <c r="I224" s="21"/>
      <c r="J224" s="13"/>
      <c r="L224" s="26">
        <f>Table134567810111213141516171819202122232425262728303132[[#This Row],[الدولار]]+(Table134567810111213141516171819202122232425262728303132[[#This Row],[اللبناني]]/90)</f>
        <v>0</v>
      </c>
      <c r="M224" s="6"/>
    </row>
    <row r="225" spans="8:13" s="8" customFormat="1" x14ac:dyDescent="0.3">
      <c r="H225" s="5" t="s">
        <v>144</v>
      </c>
      <c r="I225" s="21"/>
      <c r="J225" s="13"/>
      <c r="L225" s="26">
        <f>Table134567810111213141516171819202122232425262728303132[[#This Row],[الدولار]]+(Table134567810111213141516171819202122232425262728303132[[#This Row],[اللبناني]]/90)</f>
        <v>0</v>
      </c>
      <c r="M225" s="6"/>
    </row>
    <row r="226" spans="8:13" s="8" customFormat="1" x14ac:dyDescent="0.3">
      <c r="H226" s="5" t="s">
        <v>144</v>
      </c>
      <c r="I226" s="21"/>
      <c r="J226" s="13"/>
      <c r="L226" s="26">
        <f>Table134567810111213141516171819202122232425262728303132[[#This Row],[الدولار]]+(Table134567810111213141516171819202122232425262728303132[[#This Row],[اللبناني]]/90)</f>
        <v>0</v>
      </c>
      <c r="M226" s="6"/>
    </row>
    <row r="227" spans="8:13" s="8" customFormat="1" x14ac:dyDescent="0.3">
      <c r="H227" s="5" t="s">
        <v>144</v>
      </c>
      <c r="I227" s="21"/>
      <c r="J227" s="13"/>
      <c r="L227" s="26">
        <f>Table134567810111213141516171819202122232425262728303132[[#This Row],[الدولار]]+(Table134567810111213141516171819202122232425262728303132[[#This Row],[اللبناني]]/90)</f>
        <v>0</v>
      </c>
      <c r="M227" s="6"/>
    </row>
    <row r="228" spans="8:13" s="8" customFormat="1" x14ac:dyDescent="0.3">
      <c r="H228" s="5" t="s">
        <v>144</v>
      </c>
      <c r="I228" s="21"/>
      <c r="J228" s="13"/>
      <c r="L228" s="26">
        <f>Table134567810111213141516171819202122232425262728303132[[#This Row],[الدولار]]+(Table134567810111213141516171819202122232425262728303132[[#This Row],[اللبناني]]/90)</f>
        <v>0</v>
      </c>
      <c r="M228" s="6"/>
    </row>
    <row r="229" spans="8:13" s="8" customFormat="1" x14ac:dyDescent="0.3">
      <c r="H229" s="5" t="s">
        <v>144</v>
      </c>
      <c r="I229" s="21"/>
      <c r="J229" s="13"/>
      <c r="L229" s="26">
        <f>Table134567810111213141516171819202122232425262728303132[[#This Row],[الدولار]]+(Table134567810111213141516171819202122232425262728303132[[#This Row],[اللبناني]]/90)</f>
        <v>0</v>
      </c>
      <c r="M229" s="6"/>
    </row>
    <row r="230" spans="8:13" s="8" customFormat="1" x14ac:dyDescent="0.3">
      <c r="H230" s="5" t="s">
        <v>144</v>
      </c>
      <c r="I230" s="21"/>
      <c r="J230" s="13"/>
      <c r="L230" s="26">
        <f>Table134567810111213141516171819202122232425262728303132[[#This Row],[الدولار]]+(Table134567810111213141516171819202122232425262728303132[[#This Row],[اللبناني]]/90)</f>
        <v>0</v>
      </c>
      <c r="M230" s="6"/>
    </row>
    <row r="231" spans="8:13" s="8" customFormat="1" x14ac:dyDescent="0.3">
      <c r="H231" s="5" t="s">
        <v>144</v>
      </c>
      <c r="I231" s="21"/>
      <c r="J231" s="13"/>
      <c r="L231" s="26">
        <f>Table134567810111213141516171819202122232425262728303132[[#This Row],[الدولار]]+(Table134567810111213141516171819202122232425262728303132[[#This Row],[اللبناني]]/90)</f>
        <v>0</v>
      </c>
      <c r="M231" s="6"/>
    </row>
    <row r="232" spans="8:13" s="8" customFormat="1" x14ac:dyDescent="0.3">
      <c r="H232" s="5" t="s">
        <v>144</v>
      </c>
      <c r="I232" s="21"/>
      <c r="J232" s="13"/>
      <c r="L232" s="26">
        <f>Table134567810111213141516171819202122232425262728303132[[#This Row],[الدولار]]+(Table134567810111213141516171819202122232425262728303132[[#This Row],[اللبناني]]/90)</f>
        <v>0</v>
      </c>
      <c r="M232" s="6"/>
    </row>
    <row r="233" spans="8:13" s="8" customFormat="1" x14ac:dyDescent="0.3">
      <c r="H233" s="5" t="s">
        <v>144</v>
      </c>
      <c r="I233" s="21"/>
      <c r="J233" s="13"/>
      <c r="L233" s="26">
        <f>Table134567810111213141516171819202122232425262728303132[[#This Row],[الدولار]]+(Table134567810111213141516171819202122232425262728303132[[#This Row],[اللبناني]]/90)</f>
        <v>0</v>
      </c>
      <c r="M233" s="6"/>
    </row>
    <row r="234" spans="8:13" s="8" customFormat="1" x14ac:dyDescent="0.3">
      <c r="H234" s="5" t="s">
        <v>144</v>
      </c>
      <c r="I234" s="21"/>
      <c r="J234" s="13"/>
      <c r="L234" s="26">
        <f>Table134567810111213141516171819202122232425262728303132[[#This Row],[الدولار]]+(Table134567810111213141516171819202122232425262728303132[[#This Row],[اللبناني]]/90)</f>
        <v>0</v>
      </c>
      <c r="M234" s="6"/>
    </row>
    <row r="235" spans="8:13" s="8" customFormat="1" x14ac:dyDescent="0.3">
      <c r="H235" s="5" t="s">
        <v>144</v>
      </c>
      <c r="I235" s="21"/>
      <c r="J235" s="13"/>
      <c r="L235" s="26">
        <f>Table134567810111213141516171819202122232425262728303132[[#This Row],[الدولار]]+(Table134567810111213141516171819202122232425262728303132[[#This Row],[اللبناني]]/90)</f>
        <v>0</v>
      </c>
      <c r="M235" s="6"/>
    </row>
    <row r="236" spans="8:13" s="8" customFormat="1" x14ac:dyDescent="0.3">
      <c r="H236" s="5" t="s">
        <v>144</v>
      </c>
      <c r="I236" s="21"/>
      <c r="J236" s="13"/>
      <c r="L236" s="26">
        <f>Table134567810111213141516171819202122232425262728303132[[#This Row],[الدولار]]+(Table134567810111213141516171819202122232425262728303132[[#This Row],[اللبناني]]/90)</f>
        <v>0</v>
      </c>
      <c r="M236" s="6"/>
    </row>
    <row r="237" spans="8:13" s="8" customFormat="1" x14ac:dyDescent="0.3">
      <c r="H237" s="5" t="s">
        <v>144</v>
      </c>
      <c r="I237" s="21"/>
      <c r="J237" s="13"/>
      <c r="L237" s="26">
        <f>Table134567810111213141516171819202122232425262728303132[[#This Row],[الدولار]]+(Table134567810111213141516171819202122232425262728303132[[#This Row],[اللبناني]]/90)</f>
        <v>0</v>
      </c>
      <c r="M237" s="6"/>
    </row>
    <row r="238" spans="8:13" s="8" customFormat="1" x14ac:dyDescent="0.3">
      <c r="H238" s="5" t="s">
        <v>144</v>
      </c>
      <c r="I238" s="21"/>
      <c r="J238" s="13"/>
      <c r="L238" s="26">
        <f>Table134567810111213141516171819202122232425262728303132[[#This Row],[الدولار]]+(Table134567810111213141516171819202122232425262728303132[[#This Row],[اللبناني]]/90)</f>
        <v>0</v>
      </c>
      <c r="M238" s="6"/>
    </row>
    <row r="239" spans="8:13" s="8" customFormat="1" x14ac:dyDescent="0.3">
      <c r="H239" s="5" t="s">
        <v>144</v>
      </c>
      <c r="I239" s="21"/>
      <c r="J239" s="13"/>
      <c r="L239" s="26">
        <f>Table134567810111213141516171819202122232425262728303132[[#This Row],[الدولار]]+(Table134567810111213141516171819202122232425262728303132[[#This Row],[اللبناني]]/90)</f>
        <v>0</v>
      </c>
      <c r="M239" s="6"/>
    </row>
    <row r="240" spans="8:13" s="8" customFormat="1" x14ac:dyDescent="0.3">
      <c r="H240" s="5" t="s">
        <v>144</v>
      </c>
      <c r="I240" s="21"/>
      <c r="J240" s="13"/>
      <c r="L240" s="26">
        <f>Table134567810111213141516171819202122232425262728303132[[#This Row],[الدولار]]+(Table134567810111213141516171819202122232425262728303132[[#This Row],[اللبناني]]/90)</f>
        <v>0</v>
      </c>
      <c r="M240" s="6"/>
    </row>
    <row r="241" spans="8:13" s="8" customFormat="1" x14ac:dyDescent="0.3">
      <c r="H241" s="5" t="s">
        <v>144</v>
      </c>
      <c r="I241" s="21"/>
      <c r="J241" s="13"/>
      <c r="L241" s="26">
        <f>Table134567810111213141516171819202122232425262728303132[[#This Row],[الدولار]]+(Table134567810111213141516171819202122232425262728303132[[#This Row],[اللبناني]]/90)</f>
        <v>0</v>
      </c>
      <c r="M241" s="6"/>
    </row>
    <row r="242" spans="8:13" s="8" customFormat="1" x14ac:dyDescent="0.3">
      <c r="H242" s="5" t="s">
        <v>144</v>
      </c>
      <c r="I242" s="21"/>
      <c r="J242" s="13"/>
      <c r="L242" s="26">
        <f>Table134567810111213141516171819202122232425262728303132[[#This Row],[الدولار]]+(Table134567810111213141516171819202122232425262728303132[[#This Row],[اللبناني]]/90)</f>
        <v>0</v>
      </c>
      <c r="M242" s="6"/>
    </row>
    <row r="243" spans="8:13" s="8" customFormat="1" x14ac:dyDescent="0.3">
      <c r="H243" s="5" t="s">
        <v>144</v>
      </c>
      <c r="I243" s="21"/>
      <c r="J243" s="13"/>
      <c r="L243" s="26">
        <f>Table134567810111213141516171819202122232425262728303132[[#This Row],[الدولار]]+(Table134567810111213141516171819202122232425262728303132[[#This Row],[اللبناني]]/90)</f>
        <v>0</v>
      </c>
      <c r="M243" s="6"/>
    </row>
    <row r="244" spans="8:13" s="8" customFormat="1" x14ac:dyDescent="0.3">
      <c r="H244" s="5" t="s">
        <v>144</v>
      </c>
      <c r="I244" s="21"/>
      <c r="J244" s="13"/>
      <c r="L244" s="26">
        <f>Table134567810111213141516171819202122232425262728303132[[#This Row],[الدولار]]+(Table134567810111213141516171819202122232425262728303132[[#This Row],[اللبناني]]/90)</f>
        <v>0</v>
      </c>
      <c r="M244" s="6"/>
    </row>
    <row r="245" spans="8:13" s="8" customFormat="1" x14ac:dyDescent="0.3">
      <c r="H245" s="5" t="s">
        <v>144</v>
      </c>
      <c r="I245" s="21"/>
      <c r="J245" s="13"/>
      <c r="L245" s="26">
        <f>Table134567810111213141516171819202122232425262728303132[[#This Row],[الدولار]]+(Table134567810111213141516171819202122232425262728303132[[#This Row],[اللبناني]]/90)</f>
        <v>0</v>
      </c>
      <c r="M245" s="6"/>
    </row>
    <row r="246" spans="8:13" s="8" customFormat="1" x14ac:dyDescent="0.3">
      <c r="H246" s="5" t="s">
        <v>144</v>
      </c>
      <c r="I246" s="21"/>
      <c r="J246" s="13"/>
      <c r="L246" s="26">
        <f>Table134567810111213141516171819202122232425262728303132[[#This Row],[الدولار]]+(Table134567810111213141516171819202122232425262728303132[[#This Row],[اللبناني]]/90)</f>
        <v>0</v>
      </c>
      <c r="M246" s="6"/>
    </row>
    <row r="247" spans="8:13" s="8" customFormat="1" x14ac:dyDescent="0.3">
      <c r="H247" s="5" t="s">
        <v>144</v>
      </c>
      <c r="I247" s="21"/>
      <c r="J247" s="13"/>
      <c r="L247" s="26">
        <f>Table134567810111213141516171819202122232425262728303132[[#This Row],[الدولار]]+(Table134567810111213141516171819202122232425262728303132[[#This Row],[اللبناني]]/90)</f>
        <v>0</v>
      </c>
      <c r="M247" s="6"/>
    </row>
    <row r="248" spans="8:13" s="8" customFormat="1" x14ac:dyDescent="0.3">
      <c r="H248" s="5" t="s">
        <v>144</v>
      </c>
      <c r="I248" s="21"/>
      <c r="J248" s="13"/>
      <c r="L248" s="26">
        <f>Table134567810111213141516171819202122232425262728303132[[#This Row],[الدولار]]+(Table134567810111213141516171819202122232425262728303132[[#This Row],[اللبناني]]/90)</f>
        <v>0</v>
      </c>
      <c r="M248" s="6"/>
    </row>
    <row r="249" spans="8:13" s="8" customFormat="1" x14ac:dyDescent="0.3">
      <c r="H249" s="5" t="s">
        <v>144</v>
      </c>
      <c r="I249" s="21"/>
      <c r="J249" s="13"/>
      <c r="L249" s="26">
        <f>Table134567810111213141516171819202122232425262728303132[[#This Row],[الدولار]]+(Table134567810111213141516171819202122232425262728303132[[#This Row],[اللبناني]]/90)</f>
        <v>0</v>
      </c>
      <c r="M249" s="6"/>
    </row>
    <row r="250" spans="8:13" s="8" customFormat="1" x14ac:dyDescent="0.3">
      <c r="H250" s="5" t="s">
        <v>144</v>
      </c>
      <c r="I250" s="21"/>
      <c r="J250" s="13"/>
      <c r="L250" s="26">
        <f>Table134567810111213141516171819202122232425262728303132[[#This Row],[الدولار]]+(Table134567810111213141516171819202122232425262728303132[[#This Row],[اللبناني]]/90)</f>
        <v>0</v>
      </c>
      <c r="M250" s="6"/>
    </row>
    <row r="251" spans="8:13" s="8" customFormat="1" x14ac:dyDescent="0.3">
      <c r="H251" s="5" t="s">
        <v>144</v>
      </c>
      <c r="I251" s="21"/>
      <c r="J251" s="13"/>
      <c r="L251" s="26">
        <f>Table134567810111213141516171819202122232425262728303132[[#This Row],[الدولار]]+(Table134567810111213141516171819202122232425262728303132[[#This Row],[اللبناني]]/90)</f>
        <v>0</v>
      </c>
      <c r="M251" s="6"/>
    </row>
    <row r="252" spans="8:13" s="8" customFormat="1" x14ac:dyDescent="0.3">
      <c r="H252" s="5" t="s">
        <v>144</v>
      </c>
      <c r="I252" s="21"/>
      <c r="J252" s="13"/>
      <c r="L252" s="26">
        <f>Table134567810111213141516171819202122232425262728303132[[#This Row],[الدولار]]+(Table134567810111213141516171819202122232425262728303132[[#This Row],[اللبناني]]/90)</f>
        <v>0</v>
      </c>
      <c r="M252" s="6"/>
    </row>
    <row r="253" spans="8:13" s="8" customFormat="1" x14ac:dyDescent="0.3">
      <c r="H253" s="5" t="s">
        <v>144</v>
      </c>
      <c r="I253" s="21"/>
      <c r="J253" s="13"/>
      <c r="L253" s="26">
        <f>Table134567810111213141516171819202122232425262728303132[[#This Row],[الدولار]]+(Table134567810111213141516171819202122232425262728303132[[#This Row],[اللبناني]]/90)</f>
        <v>0</v>
      </c>
      <c r="M253" s="6"/>
    </row>
    <row r="254" spans="8:13" s="8" customFormat="1" x14ac:dyDescent="0.3">
      <c r="H254" s="5" t="s">
        <v>144</v>
      </c>
      <c r="I254" s="21"/>
      <c r="J254" s="13"/>
      <c r="L254" s="26">
        <f>Table134567810111213141516171819202122232425262728303132[[#This Row],[الدولار]]+(Table134567810111213141516171819202122232425262728303132[[#This Row],[اللبناني]]/90)</f>
        <v>0</v>
      </c>
      <c r="M254" s="6"/>
    </row>
    <row r="255" spans="8:13" s="8" customFormat="1" x14ac:dyDescent="0.3">
      <c r="H255" s="5" t="s">
        <v>144</v>
      </c>
      <c r="I255" s="21"/>
      <c r="J255" s="13"/>
      <c r="L255" s="26">
        <f>Table134567810111213141516171819202122232425262728303132[[#This Row],[الدولار]]+(Table134567810111213141516171819202122232425262728303132[[#This Row],[اللبناني]]/90)</f>
        <v>0</v>
      </c>
      <c r="M255" s="6"/>
    </row>
    <row r="256" spans="8:13" s="8" customFormat="1" x14ac:dyDescent="0.3">
      <c r="H256" s="5" t="s">
        <v>144</v>
      </c>
      <c r="I256" s="21"/>
      <c r="J256" s="13"/>
      <c r="L256" s="26">
        <f>Table134567810111213141516171819202122232425262728303132[[#This Row],[الدولار]]+(Table134567810111213141516171819202122232425262728303132[[#This Row],[اللبناني]]/90)</f>
        <v>0</v>
      </c>
      <c r="M256" s="6"/>
    </row>
    <row r="257" spans="8:13" s="8" customFormat="1" x14ac:dyDescent="0.3">
      <c r="H257" s="5" t="s">
        <v>144</v>
      </c>
      <c r="I257" s="21"/>
      <c r="J257" s="13"/>
      <c r="L257" s="26">
        <f>Table134567810111213141516171819202122232425262728303132[[#This Row],[الدولار]]+(Table134567810111213141516171819202122232425262728303132[[#This Row],[اللبناني]]/90)</f>
        <v>0</v>
      </c>
      <c r="M257" s="6"/>
    </row>
    <row r="258" spans="8:13" s="8" customFormat="1" x14ac:dyDescent="0.3">
      <c r="H258" s="5" t="s">
        <v>144</v>
      </c>
      <c r="I258" s="21"/>
      <c r="J258" s="13"/>
      <c r="L258" s="26">
        <f>Table134567810111213141516171819202122232425262728303132[[#This Row],[الدولار]]+(Table134567810111213141516171819202122232425262728303132[[#This Row],[اللبناني]]/90)</f>
        <v>0</v>
      </c>
      <c r="M258" s="6"/>
    </row>
    <row r="259" spans="8:13" s="8" customFormat="1" x14ac:dyDescent="0.3">
      <c r="H259" s="5" t="s">
        <v>144</v>
      </c>
      <c r="I259" s="21"/>
      <c r="J259" s="13"/>
      <c r="L259" s="26">
        <f>Table134567810111213141516171819202122232425262728303132[[#This Row],[الدولار]]+(Table134567810111213141516171819202122232425262728303132[[#This Row],[اللبناني]]/90)</f>
        <v>0</v>
      </c>
      <c r="M259" s="6"/>
    </row>
    <row r="260" spans="8:13" s="8" customFormat="1" x14ac:dyDescent="0.3">
      <c r="H260" s="5" t="s">
        <v>144</v>
      </c>
      <c r="I260" s="21"/>
      <c r="J260" s="13"/>
      <c r="L260" s="26">
        <f>Table134567810111213141516171819202122232425262728303132[[#This Row],[الدولار]]+(Table134567810111213141516171819202122232425262728303132[[#This Row],[اللبناني]]/90)</f>
        <v>0</v>
      </c>
      <c r="M260" s="6"/>
    </row>
    <row r="261" spans="8:13" s="8" customFormat="1" x14ac:dyDescent="0.3">
      <c r="H261" s="5" t="s">
        <v>144</v>
      </c>
      <c r="I261" s="21"/>
      <c r="J261" s="13"/>
      <c r="L261" s="26">
        <f>Table134567810111213141516171819202122232425262728303132[[#This Row],[الدولار]]+(Table134567810111213141516171819202122232425262728303132[[#This Row],[اللبناني]]/90)</f>
        <v>0</v>
      </c>
      <c r="M261" s="6"/>
    </row>
    <row r="262" spans="8:13" s="8" customFormat="1" x14ac:dyDescent="0.3">
      <c r="H262" s="5" t="s">
        <v>144</v>
      </c>
      <c r="I262" s="21"/>
      <c r="J262" s="13"/>
      <c r="L262" s="26">
        <f>Table134567810111213141516171819202122232425262728303132[[#This Row],[الدولار]]+(Table134567810111213141516171819202122232425262728303132[[#This Row],[اللبناني]]/90)</f>
        <v>0</v>
      </c>
      <c r="M262" s="6"/>
    </row>
    <row r="263" spans="8:13" s="8" customFormat="1" x14ac:dyDescent="0.3">
      <c r="H263" s="5" t="s">
        <v>144</v>
      </c>
      <c r="I263" s="21"/>
      <c r="J263" s="13"/>
      <c r="L263" s="26">
        <f>Table134567810111213141516171819202122232425262728303132[[#This Row],[الدولار]]+(Table134567810111213141516171819202122232425262728303132[[#This Row],[اللبناني]]/90)</f>
        <v>0</v>
      </c>
      <c r="M263" s="6"/>
    </row>
    <row r="264" spans="8:13" s="8" customFormat="1" x14ac:dyDescent="0.3">
      <c r="H264" s="5" t="s">
        <v>144</v>
      </c>
      <c r="I264" s="21"/>
      <c r="J264" s="13"/>
      <c r="L264" s="26">
        <f>Table134567810111213141516171819202122232425262728303132[[#This Row],[الدولار]]+(Table134567810111213141516171819202122232425262728303132[[#This Row],[اللبناني]]/90)</f>
        <v>0</v>
      </c>
      <c r="M264" s="6"/>
    </row>
    <row r="265" spans="8:13" s="8" customFormat="1" x14ac:dyDescent="0.3">
      <c r="H265" s="5" t="s">
        <v>144</v>
      </c>
      <c r="I265" s="21"/>
      <c r="J265" s="13"/>
      <c r="L265" s="26">
        <f>Table134567810111213141516171819202122232425262728303132[[#This Row],[الدولار]]+(Table134567810111213141516171819202122232425262728303132[[#This Row],[اللبناني]]/90)</f>
        <v>0</v>
      </c>
      <c r="M265" s="6"/>
    </row>
    <row r="266" spans="8:13" s="8" customFormat="1" x14ac:dyDescent="0.3">
      <c r="H266" s="5" t="s">
        <v>144</v>
      </c>
      <c r="I266" s="21"/>
      <c r="J266" s="13"/>
      <c r="L266" s="26">
        <f>Table134567810111213141516171819202122232425262728303132[[#This Row],[الدولار]]+(Table134567810111213141516171819202122232425262728303132[[#This Row],[اللبناني]]/90)</f>
        <v>0</v>
      </c>
      <c r="M266" s="6"/>
    </row>
    <row r="267" spans="8:13" s="8" customFormat="1" x14ac:dyDescent="0.3">
      <c r="H267" s="5" t="s">
        <v>144</v>
      </c>
      <c r="I267" s="21"/>
      <c r="J267" s="13"/>
      <c r="L267" s="26">
        <f>Table134567810111213141516171819202122232425262728303132[[#This Row],[الدولار]]+(Table134567810111213141516171819202122232425262728303132[[#This Row],[اللبناني]]/90)</f>
        <v>0</v>
      </c>
      <c r="M267" s="6"/>
    </row>
    <row r="268" spans="8:13" s="8" customFormat="1" x14ac:dyDescent="0.3">
      <c r="H268" s="5" t="s">
        <v>144</v>
      </c>
      <c r="I268" s="21"/>
      <c r="J268" s="13"/>
      <c r="L268" s="26">
        <f>Table134567810111213141516171819202122232425262728303132[[#This Row],[الدولار]]+(Table134567810111213141516171819202122232425262728303132[[#This Row],[اللبناني]]/90)</f>
        <v>0</v>
      </c>
      <c r="M268" s="6"/>
    </row>
    <row r="269" spans="8:13" s="8" customFormat="1" x14ac:dyDescent="0.3">
      <c r="H269" s="5" t="s">
        <v>144</v>
      </c>
      <c r="I269" s="21"/>
      <c r="J269" s="13"/>
      <c r="L269" s="26">
        <f>Table134567810111213141516171819202122232425262728303132[[#This Row],[الدولار]]+(Table134567810111213141516171819202122232425262728303132[[#This Row],[اللبناني]]/90)</f>
        <v>0</v>
      </c>
      <c r="M269" s="6"/>
    </row>
    <row r="270" spans="8:13" s="8" customFormat="1" x14ac:dyDescent="0.3">
      <c r="H270" s="5" t="s">
        <v>144</v>
      </c>
      <c r="I270" s="21"/>
      <c r="J270" s="13"/>
      <c r="L270" s="26">
        <f>Table134567810111213141516171819202122232425262728303132[[#This Row],[الدولار]]+(Table134567810111213141516171819202122232425262728303132[[#This Row],[اللبناني]]/90)</f>
        <v>0</v>
      </c>
      <c r="M270" s="6"/>
    </row>
    <row r="271" spans="8:13" s="8" customFormat="1" x14ac:dyDescent="0.3">
      <c r="H271" s="5" t="s">
        <v>144</v>
      </c>
      <c r="I271" s="21"/>
      <c r="J271" s="13"/>
      <c r="L271" s="26">
        <f>Table134567810111213141516171819202122232425262728303132[[#This Row],[الدولار]]+(Table134567810111213141516171819202122232425262728303132[[#This Row],[اللبناني]]/90)</f>
        <v>0</v>
      </c>
      <c r="M271" s="6"/>
    </row>
    <row r="272" spans="8:13" s="8" customFormat="1" x14ac:dyDescent="0.3">
      <c r="H272" s="5" t="s">
        <v>144</v>
      </c>
      <c r="I272" s="21"/>
      <c r="J272" s="13"/>
      <c r="L272" s="26">
        <f>Table134567810111213141516171819202122232425262728303132[[#This Row],[الدولار]]+(Table134567810111213141516171819202122232425262728303132[[#This Row],[اللبناني]]/90)</f>
        <v>0</v>
      </c>
      <c r="M272" s="6"/>
    </row>
    <row r="273" spans="8:13" s="8" customFormat="1" x14ac:dyDescent="0.3">
      <c r="H273" s="5" t="s">
        <v>144</v>
      </c>
      <c r="I273" s="21"/>
      <c r="J273" s="13"/>
      <c r="L273" s="26">
        <f>Table134567810111213141516171819202122232425262728303132[[#This Row],[الدولار]]+(Table134567810111213141516171819202122232425262728303132[[#This Row],[اللبناني]]/90)</f>
        <v>0</v>
      </c>
      <c r="M273" s="6"/>
    </row>
    <row r="274" spans="8:13" s="8" customFormat="1" x14ac:dyDescent="0.3">
      <c r="H274" s="5" t="s">
        <v>144</v>
      </c>
      <c r="I274" s="21"/>
      <c r="J274" s="13"/>
      <c r="L274" s="26">
        <f>Table134567810111213141516171819202122232425262728303132[[#This Row],[الدولار]]+(Table134567810111213141516171819202122232425262728303132[[#This Row],[اللبناني]]/90)</f>
        <v>0</v>
      </c>
      <c r="M274" s="6"/>
    </row>
    <row r="275" spans="8:13" s="8" customFormat="1" x14ac:dyDescent="0.3">
      <c r="H275" s="5" t="s">
        <v>144</v>
      </c>
      <c r="I275" s="21"/>
      <c r="J275" s="13"/>
      <c r="L275" s="26">
        <f>Table134567810111213141516171819202122232425262728303132[[#This Row],[الدولار]]+(Table134567810111213141516171819202122232425262728303132[[#This Row],[اللبناني]]/90)</f>
        <v>0</v>
      </c>
      <c r="M275" s="6"/>
    </row>
    <row r="276" spans="8:13" s="8" customFormat="1" x14ac:dyDescent="0.3">
      <c r="H276" s="5" t="s">
        <v>144</v>
      </c>
      <c r="I276" s="21"/>
      <c r="J276" s="13"/>
      <c r="L276" s="26">
        <f>Table134567810111213141516171819202122232425262728303132[[#This Row],[الدولار]]+(Table134567810111213141516171819202122232425262728303132[[#This Row],[اللبناني]]/90)</f>
        <v>0</v>
      </c>
      <c r="M276" s="6"/>
    </row>
    <row r="277" spans="8:13" s="8" customFormat="1" x14ac:dyDescent="0.3">
      <c r="H277" s="5" t="s">
        <v>144</v>
      </c>
      <c r="I277" s="21"/>
      <c r="J277" s="13"/>
      <c r="L277" s="26">
        <f>Table134567810111213141516171819202122232425262728303132[[#This Row],[الدولار]]+(Table134567810111213141516171819202122232425262728303132[[#This Row],[اللبناني]]/90)</f>
        <v>0</v>
      </c>
      <c r="M277" s="6"/>
    </row>
    <row r="278" spans="8:13" s="8" customFormat="1" x14ac:dyDescent="0.3">
      <c r="H278" s="5" t="s">
        <v>144</v>
      </c>
      <c r="I278" s="21"/>
      <c r="J278" s="13"/>
      <c r="L278" s="26">
        <f>Table134567810111213141516171819202122232425262728303132[[#This Row],[الدولار]]+(Table134567810111213141516171819202122232425262728303132[[#This Row],[اللبناني]]/90)</f>
        <v>0</v>
      </c>
      <c r="M278" s="6"/>
    </row>
    <row r="279" spans="8:13" s="8" customFormat="1" x14ac:dyDescent="0.3">
      <c r="H279" s="5" t="s">
        <v>144</v>
      </c>
      <c r="I279" s="21"/>
      <c r="J279" s="13"/>
      <c r="L279" s="26">
        <f>Table134567810111213141516171819202122232425262728303132[[#This Row],[الدولار]]+(Table134567810111213141516171819202122232425262728303132[[#This Row],[اللبناني]]/90)</f>
        <v>0</v>
      </c>
      <c r="M279" s="6"/>
    </row>
    <row r="280" spans="8:13" s="8" customFormat="1" x14ac:dyDescent="0.3">
      <c r="H280" s="5" t="s">
        <v>144</v>
      </c>
      <c r="I280" s="21"/>
      <c r="J280" s="13"/>
      <c r="L280" s="26">
        <f>Table134567810111213141516171819202122232425262728303132[[#This Row],[الدولار]]+(Table134567810111213141516171819202122232425262728303132[[#This Row],[اللبناني]]/90)</f>
        <v>0</v>
      </c>
      <c r="M280" s="6"/>
    </row>
    <row r="281" spans="8:13" s="8" customFormat="1" x14ac:dyDescent="0.3">
      <c r="H281" s="5" t="s">
        <v>144</v>
      </c>
      <c r="I281" s="21"/>
      <c r="J281" s="13"/>
      <c r="L281" s="26">
        <f>Table134567810111213141516171819202122232425262728303132[[#This Row],[الدولار]]+(Table134567810111213141516171819202122232425262728303132[[#This Row],[اللبناني]]/90)</f>
        <v>0</v>
      </c>
      <c r="M281" s="6"/>
    </row>
    <row r="282" spans="8:13" s="8" customFormat="1" x14ac:dyDescent="0.3">
      <c r="H282" s="5" t="s">
        <v>144</v>
      </c>
      <c r="I282" s="21"/>
      <c r="J282" s="13"/>
      <c r="L282" s="26">
        <f>Table134567810111213141516171819202122232425262728303132[[#This Row],[الدولار]]+(Table134567810111213141516171819202122232425262728303132[[#This Row],[اللبناني]]/90)</f>
        <v>0</v>
      </c>
      <c r="M282" s="6"/>
    </row>
    <row r="283" spans="8:13" s="8" customFormat="1" x14ac:dyDescent="0.3">
      <c r="H283" s="5" t="s">
        <v>144</v>
      </c>
      <c r="I283" s="21"/>
      <c r="J283" s="13"/>
      <c r="L283" s="26">
        <f>Table134567810111213141516171819202122232425262728303132[[#This Row],[الدولار]]+(Table134567810111213141516171819202122232425262728303132[[#This Row],[اللبناني]]/90)</f>
        <v>0</v>
      </c>
      <c r="M283" s="6"/>
    </row>
    <row r="284" spans="8:13" s="8" customFormat="1" x14ac:dyDescent="0.3">
      <c r="H284" s="5" t="s">
        <v>144</v>
      </c>
      <c r="I284" s="21"/>
      <c r="J284" s="13"/>
      <c r="L284" s="26">
        <f>Table134567810111213141516171819202122232425262728303132[[#This Row],[الدولار]]+(Table134567810111213141516171819202122232425262728303132[[#This Row],[اللبناني]]/90)</f>
        <v>0</v>
      </c>
      <c r="M284" s="6"/>
    </row>
    <row r="285" spans="8:13" s="8" customFormat="1" x14ac:dyDescent="0.3">
      <c r="H285" s="5" t="s">
        <v>144</v>
      </c>
      <c r="I285" s="21"/>
      <c r="J285" s="13"/>
      <c r="L285" s="26">
        <f>Table134567810111213141516171819202122232425262728303132[[#This Row],[الدولار]]+(Table134567810111213141516171819202122232425262728303132[[#This Row],[اللبناني]]/90)</f>
        <v>0</v>
      </c>
      <c r="M285" s="6"/>
    </row>
    <row r="286" spans="8:13" s="8" customFormat="1" x14ac:dyDescent="0.3">
      <c r="H286" s="5" t="s">
        <v>144</v>
      </c>
      <c r="I286" s="21"/>
      <c r="J286" s="13"/>
      <c r="L286" s="26">
        <f>Table134567810111213141516171819202122232425262728303132[[#This Row],[الدولار]]+(Table134567810111213141516171819202122232425262728303132[[#This Row],[اللبناني]]/90)</f>
        <v>0</v>
      </c>
      <c r="M286" s="6"/>
    </row>
    <row r="287" spans="8:13" s="8" customFormat="1" x14ac:dyDescent="0.3">
      <c r="H287" s="5" t="s">
        <v>144</v>
      </c>
      <c r="I287" s="21"/>
      <c r="J287" s="13"/>
      <c r="L287" s="26">
        <f>Table134567810111213141516171819202122232425262728303132[[#This Row],[الدولار]]+(Table134567810111213141516171819202122232425262728303132[[#This Row],[اللبناني]]/90)</f>
        <v>0</v>
      </c>
      <c r="M287" s="6"/>
    </row>
    <row r="288" spans="8:13" s="8" customFormat="1" x14ac:dyDescent="0.3">
      <c r="H288" s="5" t="s">
        <v>144</v>
      </c>
      <c r="I288" s="21"/>
      <c r="J288" s="13"/>
      <c r="L288" s="26">
        <f>Table134567810111213141516171819202122232425262728303132[[#This Row],[الدولار]]+(Table134567810111213141516171819202122232425262728303132[[#This Row],[اللبناني]]/90)</f>
        <v>0</v>
      </c>
      <c r="M288" s="6"/>
    </row>
    <row r="289" spans="8:13" s="8" customFormat="1" x14ac:dyDescent="0.3">
      <c r="H289" s="5" t="s">
        <v>144</v>
      </c>
      <c r="I289" s="21"/>
      <c r="J289" s="13"/>
      <c r="L289" s="26">
        <f>Table134567810111213141516171819202122232425262728303132[[#This Row],[الدولار]]+(Table134567810111213141516171819202122232425262728303132[[#This Row],[اللبناني]]/90)</f>
        <v>0</v>
      </c>
      <c r="M289" s="6"/>
    </row>
    <row r="290" spans="8:13" s="8" customFormat="1" x14ac:dyDescent="0.3">
      <c r="H290" s="5" t="s">
        <v>144</v>
      </c>
      <c r="I290" s="21"/>
      <c r="J290" s="13"/>
      <c r="L290" s="26">
        <f>Table134567810111213141516171819202122232425262728303132[[#This Row],[الدولار]]+(Table134567810111213141516171819202122232425262728303132[[#This Row],[اللبناني]]/90)</f>
        <v>0</v>
      </c>
      <c r="M290" s="6"/>
    </row>
    <row r="291" spans="8:13" s="8" customFormat="1" x14ac:dyDescent="0.3">
      <c r="H291" s="5" t="s">
        <v>144</v>
      </c>
      <c r="I291" s="21"/>
      <c r="J291" s="13"/>
      <c r="L291" s="26">
        <f>Table134567810111213141516171819202122232425262728303132[[#This Row],[الدولار]]+(Table134567810111213141516171819202122232425262728303132[[#This Row],[اللبناني]]/90)</f>
        <v>0</v>
      </c>
      <c r="M291" s="6"/>
    </row>
    <row r="292" spans="8:13" s="8" customFormat="1" x14ac:dyDescent="0.3">
      <c r="H292" s="5" t="s">
        <v>144</v>
      </c>
      <c r="I292" s="21"/>
      <c r="J292" s="13"/>
      <c r="L292" s="26">
        <f>Table134567810111213141516171819202122232425262728303132[[#This Row],[الدولار]]+(Table134567810111213141516171819202122232425262728303132[[#This Row],[اللبناني]]/90)</f>
        <v>0</v>
      </c>
      <c r="M292" s="6"/>
    </row>
    <row r="293" spans="8:13" s="8" customFormat="1" x14ac:dyDescent="0.3">
      <c r="H293" s="5" t="s">
        <v>144</v>
      </c>
      <c r="I293" s="21"/>
      <c r="J293" s="13"/>
      <c r="L293" s="26">
        <f>Table134567810111213141516171819202122232425262728303132[[#This Row],[الدولار]]+(Table134567810111213141516171819202122232425262728303132[[#This Row],[اللبناني]]/90)</f>
        <v>0</v>
      </c>
      <c r="M293" s="6"/>
    </row>
    <row r="294" spans="8:13" s="8" customFormat="1" x14ac:dyDescent="0.3">
      <c r="H294" s="5" t="s">
        <v>144</v>
      </c>
      <c r="I294" s="21"/>
      <c r="J294" s="13"/>
      <c r="L294" s="26">
        <f>Table134567810111213141516171819202122232425262728303132[[#This Row],[الدولار]]+(Table134567810111213141516171819202122232425262728303132[[#This Row],[اللبناني]]/90)</f>
        <v>0</v>
      </c>
      <c r="M294" s="6"/>
    </row>
    <row r="295" spans="8:13" s="8" customFormat="1" x14ac:dyDescent="0.3">
      <c r="H295" s="5" t="s">
        <v>144</v>
      </c>
      <c r="I295" s="21"/>
      <c r="J295" s="13"/>
      <c r="L295" s="26">
        <f>Table134567810111213141516171819202122232425262728303132[[#This Row],[الدولار]]+(Table134567810111213141516171819202122232425262728303132[[#This Row],[اللبناني]]/90)</f>
        <v>0</v>
      </c>
      <c r="M295" s="6"/>
    </row>
    <row r="296" spans="8:13" s="8" customFormat="1" x14ac:dyDescent="0.3">
      <c r="H296" s="5" t="s">
        <v>144</v>
      </c>
      <c r="I296" s="21"/>
      <c r="J296" s="13"/>
      <c r="L296" s="26">
        <f>Table134567810111213141516171819202122232425262728303132[[#This Row],[الدولار]]+(Table134567810111213141516171819202122232425262728303132[[#This Row],[اللبناني]]/90)</f>
        <v>0</v>
      </c>
      <c r="M296" s="6"/>
    </row>
    <row r="297" spans="8:13" s="8" customFormat="1" x14ac:dyDescent="0.3">
      <c r="H297" s="5" t="s">
        <v>144</v>
      </c>
      <c r="I297" s="21"/>
      <c r="J297" s="13"/>
      <c r="L297" s="26">
        <f>Table134567810111213141516171819202122232425262728303132[[#This Row],[الدولار]]+(Table134567810111213141516171819202122232425262728303132[[#This Row],[اللبناني]]/90)</f>
        <v>0</v>
      </c>
      <c r="M297" s="6"/>
    </row>
    <row r="298" spans="8:13" s="8" customFormat="1" x14ac:dyDescent="0.3">
      <c r="H298" s="5" t="s">
        <v>144</v>
      </c>
      <c r="I298" s="21"/>
      <c r="J298" s="13"/>
      <c r="L298" s="26">
        <f>Table134567810111213141516171819202122232425262728303132[[#This Row],[الدولار]]+(Table134567810111213141516171819202122232425262728303132[[#This Row],[اللبناني]]/90)</f>
        <v>0</v>
      </c>
      <c r="M298" s="6"/>
    </row>
    <row r="299" spans="8:13" s="8" customFormat="1" x14ac:dyDescent="0.3">
      <c r="H299" s="5" t="s">
        <v>144</v>
      </c>
      <c r="I299" s="21"/>
      <c r="J299" s="13"/>
      <c r="L299" s="26">
        <f>Table134567810111213141516171819202122232425262728303132[[#This Row],[الدولار]]+(Table134567810111213141516171819202122232425262728303132[[#This Row],[اللبناني]]/90)</f>
        <v>0</v>
      </c>
      <c r="M299" s="6"/>
    </row>
    <row r="300" spans="8:13" s="8" customFormat="1" x14ac:dyDescent="0.3">
      <c r="H300" s="5" t="s">
        <v>144</v>
      </c>
      <c r="I300" s="21"/>
      <c r="J300" s="13"/>
      <c r="L300" s="26">
        <f>Table134567810111213141516171819202122232425262728303132[[#This Row],[الدولار]]+(Table134567810111213141516171819202122232425262728303132[[#This Row],[اللبناني]]/90)</f>
        <v>0</v>
      </c>
      <c r="M300" s="6"/>
    </row>
    <row r="301" spans="8:13" s="8" customFormat="1" x14ac:dyDescent="0.3">
      <c r="H301" s="5" t="s">
        <v>144</v>
      </c>
      <c r="I301" s="21"/>
      <c r="J301" s="13"/>
      <c r="L301" s="26">
        <f>Table134567810111213141516171819202122232425262728303132[[#This Row],[الدولار]]+(Table134567810111213141516171819202122232425262728303132[[#This Row],[اللبناني]]/90)</f>
        <v>0</v>
      </c>
      <c r="M301" s="6"/>
    </row>
    <row r="302" spans="8:13" s="8" customFormat="1" x14ac:dyDescent="0.3">
      <c r="H302" s="5" t="s">
        <v>144</v>
      </c>
      <c r="I302" s="21"/>
      <c r="J302" s="13"/>
      <c r="L302" s="26">
        <f>Table134567810111213141516171819202122232425262728303132[[#This Row],[الدولار]]+(Table134567810111213141516171819202122232425262728303132[[#This Row],[اللبناني]]/90)</f>
        <v>0</v>
      </c>
      <c r="M302" s="6"/>
    </row>
    <row r="303" spans="8:13" s="8" customFormat="1" x14ac:dyDescent="0.3">
      <c r="H303" s="5" t="s">
        <v>144</v>
      </c>
      <c r="I303" s="21"/>
      <c r="J303" s="13"/>
      <c r="L303" s="26">
        <f>Table134567810111213141516171819202122232425262728303132[[#This Row],[الدولار]]+(Table134567810111213141516171819202122232425262728303132[[#This Row],[اللبناني]]/90)</f>
        <v>0</v>
      </c>
      <c r="M303" s="6"/>
    </row>
    <row r="304" spans="8:13" s="8" customFormat="1" x14ac:dyDescent="0.3">
      <c r="H304" s="5" t="s">
        <v>144</v>
      </c>
      <c r="I304" s="21"/>
      <c r="J304" s="13"/>
      <c r="L304" s="26">
        <f>Table134567810111213141516171819202122232425262728303132[[#This Row],[الدولار]]+(Table134567810111213141516171819202122232425262728303132[[#This Row],[اللبناني]]/90)</f>
        <v>0</v>
      </c>
      <c r="M304" s="6"/>
    </row>
    <row r="305" spans="8:13" s="8" customFormat="1" x14ac:dyDescent="0.3">
      <c r="H305" s="5" t="s">
        <v>144</v>
      </c>
      <c r="I305" s="21"/>
      <c r="J305" s="13"/>
      <c r="L305" s="26">
        <f>Table134567810111213141516171819202122232425262728303132[[#This Row],[الدولار]]+(Table134567810111213141516171819202122232425262728303132[[#This Row],[اللبناني]]/90)</f>
        <v>0</v>
      </c>
      <c r="M305" s="6"/>
    </row>
    <row r="306" spans="8:13" s="8" customFormat="1" x14ac:dyDescent="0.3">
      <c r="H306" s="5" t="s">
        <v>144</v>
      </c>
      <c r="I306" s="21"/>
      <c r="J306" s="13"/>
      <c r="L306" s="26">
        <f>Table134567810111213141516171819202122232425262728303132[[#This Row],[الدولار]]+(Table134567810111213141516171819202122232425262728303132[[#This Row],[اللبناني]]/90)</f>
        <v>0</v>
      </c>
      <c r="M306" s="6"/>
    </row>
    <row r="307" spans="8:13" s="8" customFormat="1" x14ac:dyDescent="0.3">
      <c r="H307" s="5" t="s">
        <v>144</v>
      </c>
      <c r="I307" s="21"/>
      <c r="J307" s="13"/>
      <c r="L307" s="26">
        <f>Table134567810111213141516171819202122232425262728303132[[#This Row],[الدولار]]+(Table134567810111213141516171819202122232425262728303132[[#This Row],[اللبناني]]/90)</f>
        <v>0</v>
      </c>
      <c r="M307" s="6"/>
    </row>
    <row r="308" spans="8:13" s="8" customFormat="1" x14ac:dyDescent="0.3">
      <c r="H308" s="5" t="s">
        <v>144</v>
      </c>
      <c r="I308" s="21"/>
      <c r="J308" s="13"/>
      <c r="L308" s="26">
        <f>Table134567810111213141516171819202122232425262728303132[[#This Row],[الدولار]]+(Table134567810111213141516171819202122232425262728303132[[#This Row],[اللبناني]]/90)</f>
        <v>0</v>
      </c>
      <c r="M308" s="6"/>
    </row>
    <row r="309" spans="8:13" s="8" customFormat="1" x14ac:dyDescent="0.3">
      <c r="H309" s="5" t="s">
        <v>144</v>
      </c>
      <c r="I309" s="21"/>
      <c r="J309" s="13"/>
      <c r="L309" s="26">
        <f>Table134567810111213141516171819202122232425262728303132[[#This Row],[الدولار]]+(Table134567810111213141516171819202122232425262728303132[[#This Row],[اللبناني]]/90)</f>
        <v>0</v>
      </c>
      <c r="M309" s="6"/>
    </row>
    <row r="310" spans="8:13" s="8" customFormat="1" x14ac:dyDescent="0.3">
      <c r="H310" s="5" t="s">
        <v>144</v>
      </c>
      <c r="I310" s="21"/>
      <c r="J310" s="13"/>
      <c r="L310" s="26">
        <f>Table134567810111213141516171819202122232425262728303132[[#This Row],[الدولار]]+(Table134567810111213141516171819202122232425262728303132[[#This Row],[اللبناني]]/90)</f>
        <v>0</v>
      </c>
      <c r="M310" s="6"/>
    </row>
    <row r="311" spans="8:13" s="8" customFormat="1" x14ac:dyDescent="0.3">
      <c r="H311" s="5" t="s">
        <v>144</v>
      </c>
      <c r="I311" s="21"/>
      <c r="J311" s="13"/>
      <c r="L311" s="26">
        <f>Table134567810111213141516171819202122232425262728303132[[#This Row],[الدولار]]+(Table134567810111213141516171819202122232425262728303132[[#This Row],[اللبناني]]/90)</f>
        <v>0</v>
      </c>
      <c r="M311" s="6"/>
    </row>
    <row r="312" spans="8:13" s="8" customFormat="1" x14ac:dyDescent="0.3">
      <c r="H312" s="5" t="s">
        <v>144</v>
      </c>
      <c r="I312" s="21"/>
      <c r="J312" s="13"/>
      <c r="L312" s="26">
        <f>Table134567810111213141516171819202122232425262728303132[[#This Row],[الدولار]]+(Table134567810111213141516171819202122232425262728303132[[#This Row],[اللبناني]]/90)</f>
        <v>0</v>
      </c>
      <c r="M312" s="6"/>
    </row>
    <row r="313" spans="8:13" s="8" customFormat="1" x14ac:dyDescent="0.3">
      <c r="H313" s="5" t="s">
        <v>144</v>
      </c>
      <c r="I313" s="21"/>
      <c r="J313" s="13"/>
      <c r="L313" s="26">
        <f>Table134567810111213141516171819202122232425262728303132[[#This Row],[الدولار]]+(Table134567810111213141516171819202122232425262728303132[[#This Row],[اللبناني]]/90)</f>
        <v>0</v>
      </c>
      <c r="M313" s="6"/>
    </row>
    <row r="314" spans="8:13" s="8" customFormat="1" x14ac:dyDescent="0.3">
      <c r="H314" s="5" t="s">
        <v>144</v>
      </c>
      <c r="I314" s="21"/>
      <c r="J314" s="13"/>
      <c r="L314" s="26">
        <f>Table134567810111213141516171819202122232425262728303132[[#This Row],[الدولار]]+(Table134567810111213141516171819202122232425262728303132[[#This Row],[اللبناني]]/90)</f>
        <v>0</v>
      </c>
      <c r="M314" s="6"/>
    </row>
    <row r="315" spans="8:13" s="8" customFormat="1" x14ac:dyDescent="0.3">
      <c r="H315" s="5" t="s">
        <v>144</v>
      </c>
      <c r="I315" s="21"/>
      <c r="J315" s="13"/>
      <c r="L315" s="26">
        <f>Table134567810111213141516171819202122232425262728303132[[#This Row],[الدولار]]+(Table134567810111213141516171819202122232425262728303132[[#This Row],[اللبناني]]/90)</f>
        <v>0</v>
      </c>
      <c r="M315" s="6"/>
    </row>
    <row r="316" spans="8:13" s="8" customFormat="1" x14ac:dyDescent="0.3">
      <c r="H316" s="5" t="s">
        <v>144</v>
      </c>
      <c r="I316" s="21"/>
      <c r="J316" s="13"/>
      <c r="L316" s="26">
        <f>Table134567810111213141516171819202122232425262728303132[[#This Row],[الدولار]]+(Table134567810111213141516171819202122232425262728303132[[#This Row],[اللبناني]]/90)</f>
        <v>0</v>
      </c>
      <c r="M316" s="6"/>
    </row>
    <row r="317" spans="8:13" s="8" customFormat="1" x14ac:dyDescent="0.3">
      <c r="H317" s="5" t="s">
        <v>144</v>
      </c>
      <c r="I317" s="21"/>
      <c r="J317" s="13"/>
      <c r="L317" s="26">
        <f>Table134567810111213141516171819202122232425262728303132[[#This Row],[الدولار]]+(Table134567810111213141516171819202122232425262728303132[[#This Row],[اللبناني]]/90)</f>
        <v>0</v>
      </c>
      <c r="M317" s="6"/>
    </row>
    <row r="318" spans="8:13" s="8" customFormat="1" x14ac:dyDescent="0.3">
      <c r="H318" s="5" t="s">
        <v>144</v>
      </c>
      <c r="I318" s="21"/>
      <c r="J318" s="13"/>
      <c r="L318" s="26">
        <f>Table134567810111213141516171819202122232425262728303132[[#This Row],[الدولار]]+(Table134567810111213141516171819202122232425262728303132[[#This Row],[اللبناني]]/90)</f>
        <v>0</v>
      </c>
      <c r="M318" s="6"/>
    </row>
    <row r="319" spans="8:13" s="8" customFormat="1" x14ac:dyDescent="0.3">
      <c r="H319" s="5" t="s">
        <v>144</v>
      </c>
      <c r="I319" s="21"/>
      <c r="J319" s="13"/>
      <c r="L319" s="26">
        <f>Table134567810111213141516171819202122232425262728303132[[#This Row],[الدولار]]+(Table134567810111213141516171819202122232425262728303132[[#This Row],[اللبناني]]/90)</f>
        <v>0</v>
      </c>
      <c r="M319" s="6"/>
    </row>
    <row r="320" spans="8:13" s="8" customFormat="1" x14ac:dyDescent="0.3">
      <c r="H320" s="5" t="s">
        <v>144</v>
      </c>
      <c r="I320" s="21"/>
      <c r="J320" s="13"/>
      <c r="L320" s="26">
        <f>Table134567810111213141516171819202122232425262728303132[[#This Row],[الدولار]]+(Table134567810111213141516171819202122232425262728303132[[#This Row],[اللبناني]]/90)</f>
        <v>0</v>
      </c>
      <c r="M320" s="6"/>
    </row>
    <row r="321" spans="8:13" s="8" customFormat="1" x14ac:dyDescent="0.3">
      <c r="H321" s="5" t="s">
        <v>144</v>
      </c>
      <c r="I321" s="21"/>
      <c r="J321" s="13"/>
      <c r="L321" s="26">
        <f>Table134567810111213141516171819202122232425262728303132[[#This Row],[الدولار]]+(Table134567810111213141516171819202122232425262728303132[[#This Row],[اللبناني]]/90)</f>
        <v>0</v>
      </c>
      <c r="M321" s="6"/>
    </row>
    <row r="322" spans="8:13" s="8" customFormat="1" x14ac:dyDescent="0.3">
      <c r="H322" s="5" t="s">
        <v>144</v>
      </c>
      <c r="I322" s="21"/>
      <c r="J322" s="13"/>
      <c r="L322" s="26">
        <f>Table134567810111213141516171819202122232425262728303132[[#This Row],[الدولار]]+(Table134567810111213141516171819202122232425262728303132[[#This Row],[اللبناني]]/90)</f>
        <v>0</v>
      </c>
      <c r="M322" s="6"/>
    </row>
    <row r="323" spans="8:13" s="8" customFormat="1" x14ac:dyDescent="0.3">
      <c r="H323" s="5" t="s">
        <v>144</v>
      </c>
      <c r="I323" s="21"/>
      <c r="J323" s="13"/>
      <c r="L323" s="26">
        <f>Table134567810111213141516171819202122232425262728303132[[#This Row],[الدولار]]+(Table134567810111213141516171819202122232425262728303132[[#This Row],[اللبناني]]/90)</f>
        <v>0</v>
      </c>
      <c r="M323" s="6"/>
    </row>
    <row r="324" spans="8:13" s="8" customFormat="1" x14ac:dyDescent="0.3">
      <c r="H324" s="5" t="s">
        <v>144</v>
      </c>
      <c r="I324" s="21"/>
      <c r="J324" s="13"/>
      <c r="L324" s="26">
        <f>Table134567810111213141516171819202122232425262728303132[[#This Row],[الدولار]]+(Table134567810111213141516171819202122232425262728303132[[#This Row],[اللبناني]]/90)</f>
        <v>0</v>
      </c>
      <c r="M324" s="6"/>
    </row>
    <row r="325" spans="8:13" s="8" customFormat="1" x14ac:dyDescent="0.3">
      <c r="H325" s="5" t="s">
        <v>144</v>
      </c>
      <c r="I325" s="21"/>
      <c r="J325" s="13"/>
      <c r="L325" s="26">
        <f>Table134567810111213141516171819202122232425262728303132[[#This Row],[الدولار]]+(Table134567810111213141516171819202122232425262728303132[[#This Row],[اللبناني]]/90)</f>
        <v>0</v>
      </c>
      <c r="M325" s="6"/>
    </row>
    <row r="326" spans="8:13" s="8" customFormat="1" x14ac:dyDescent="0.3">
      <c r="H326" s="5" t="s">
        <v>144</v>
      </c>
      <c r="I326" s="21"/>
      <c r="J326" s="13"/>
      <c r="L326" s="26">
        <f>Table134567810111213141516171819202122232425262728303132[[#This Row],[الدولار]]+(Table134567810111213141516171819202122232425262728303132[[#This Row],[اللبناني]]/90)</f>
        <v>0</v>
      </c>
      <c r="M326" s="6"/>
    </row>
    <row r="327" spans="8:13" s="8" customFormat="1" x14ac:dyDescent="0.3">
      <c r="H327" s="5" t="s">
        <v>144</v>
      </c>
      <c r="I327" s="21"/>
      <c r="J327" s="13"/>
      <c r="L327" s="26">
        <f>Table134567810111213141516171819202122232425262728303132[[#This Row],[الدولار]]+(Table134567810111213141516171819202122232425262728303132[[#This Row],[اللبناني]]/90)</f>
        <v>0</v>
      </c>
      <c r="M327" s="6"/>
    </row>
    <row r="328" spans="8:13" s="8" customFormat="1" x14ac:dyDescent="0.3">
      <c r="H328" s="5" t="s">
        <v>144</v>
      </c>
      <c r="I328" s="21"/>
      <c r="J328" s="13"/>
      <c r="L328" s="26">
        <f>Table134567810111213141516171819202122232425262728303132[[#This Row],[الدولار]]+(Table134567810111213141516171819202122232425262728303132[[#This Row],[اللبناني]]/90)</f>
        <v>0</v>
      </c>
      <c r="M328" s="6"/>
    </row>
    <row r="329" spans="8:13" s="8" customFormat="1" x14ac:dyDescent="0.3">
      <c r="H329" s="5" t="s">
        <v>144</v>
      </c>
      <c r="I329" s="21"/>
      <c r="J329" s="13"/>
      <c r="L329" s="26">
        <f>Table134567810111213141516171819202122232425262728303132[[#This Row],[الدولار]]+(Table134567810111213141516171819202122232425262728303132[[#This Row],[اللبناني]]/90)</f>
        <v>0</v>
      </c>
      <c r="M329" s="6"/>
    </row>
    <row r="330" spans="8:13" s="8" customFormat="1" x14ac:dyDescent="0.3">
      <c r="H330" s="5" t="s">
        <v>144</v>
      </c>
      <c r="I330" s="21"/>
      <c r="J330" s="13"/>
      <c r="L330" s="26">
        <f>Table134567810111213141516171819202122232425262728303132[[#This Row],[الدولار]]+(Table134567810111213141516171819202122232425262728303132[[#This Row],[اللبناني]]/90)</f>
        <v>0</v>
      </c>
      <c r="M330" s="6"/>
    </row>
    <row r="331" spans="8:13" s="8" customFormat="1" x14ac:dyDescent="0.3">
      <c r="H331" s="5" t="s">
        <v>144</v>
      </c>
      <c r="I331" s="21"/>
      <c r="J331" s="13"/>
      <c r="L331" s="26">
        <f>Table134567810111213141516171819202122232425262728303132[[#This Row],[الدولار]]+(Table134567810111213141516171819202122232425262728303132[[#This Row],[اللبناني]]/90)</f>
        <v>0</v>
      </c>
      <c r="M331" s="6"/>
    </row>
    <row r="332" spans="8:13" s="8" customFormat="1" x14ac:dyDescent="0.3">
      <c r="H332" s="5" t="s">
        <v>144</v>
      </c>
      <c r="I332" s="21"/>
      <c r="J332" s="13"/>
      <c r="L332" s="26">
        <f>Table134567810111213141516171819202122232425262728303132[[#This Row],[الدولار]]+(Table134567810111213141516171819202122232425262728303132[[#This Row],[اللبناني]]/90)</f>
        <v>0</v>
      </c>
      <c r="M332" s="6"/>
    </row>
    <row r="333" spans="8:13" s="8" customFormat="1" x14ac:dyDescent="0.3">
      <c r="H333" s="5" t="s">
        <v>144</v>
      </c>
      <c r="I333" s="21"/>
      <c r="J333" s="13"/>
      <c r="L333" s="26">
        <f>Table134567810111213141516171819202122232425262728303132[[#This Row],[الدولار]]+(Table134567810111213141516171819202122232425262728303132[[#This Row],[اللبناني]]/90)</f>
        <v>0</v>
      </c>
      <c r="M333" s="6"/>
    </row>
    <row r="334" spans="8:13" s="8" customFormat="1" x14ac:dyDescent="0.3">
      <c r="H334" s="5" t="s">
        <v>144</v>
      </c>
      <c r="I334" s="21"/>
      <c r="J334" s="13"/>
      <c r="L334" s="26">
        <f>Table134567810111213141516171819202122232425262728303132[[#This Row],[الدولار]]+(Table134567810111213141516171819202122232425262728303132[[#This Row],[اللبناني]]/90)</f>
        <v>0</v>
      </c>
      <c r="M334" s="6"/>
    </row>
    <row r="335" spans="8:13" s="8" customFormat="1" x14ac:dyDescent="0.3">
      <c r="H335" s="5" t="s">
        <v>144</v>
      </c>
      <c r="I335" s="21"/>
      <c r="J335" s="13"/>
      <c r="L335" s="26">
        <f>Table134567810111213141516171819202122232425262728303132[[#This Row],[الدولار]]+(Table134567810111213141516171819202122232425262728303132[[#This Row],[اللبناني]]/90)</f>
        <v>0</v>
      </c>
      <c r="M335" s="6"/>
    </row>
    <row r="336" spans="8:13" s="8" customFormat="1" x14ac:dyDescent="0.3">
      <c r="H336" s="5" t="s">
        <v>144</v>
      </c>
      <c r="I336" s="21"/>
      <c r="J336" s="13"/>
      <c r="L336" s="26">
        <f>Table134567810111213141516171819202122232425262728303132[[#This Row],[الدولار]]+(Table134567810111213141516171819202122232425262728303132[[#This Row],[اللبناني]]/90)</f>
        <v>0</v>
      </c>
      <c r="M336" s="6"/>
    </row>
    <row r="337" spans="8:13" s="8" customFormat="1" x14ac:dyDescent="0.3">
      <c r="H337" s="5" t="s">
        <v>144</v>
      </c>
      <c r="I337" s="21"/>
      <c r="J337" s="13"/>
      <c r="L337" s="26">
        <f>Table134567810111213141516171819202122232425262728303132[[#This Row],[الدولار]]+(Table134567810111213141516171819202122232425262728303132[[#This Row],[اللبناني]]/90)</f>
        <v>0</v>
      </c>
      <c r="M337" s="6"/>
    </row>
    <row r="338" spans="8:13" s="8" customFormat="1" x14ac:dyDescent="0.3">
      <c r="H338" s="5" t="s">
        <v>144</v>
      </c>
      <c r="I338" s="21"/>
      <c r="J338" s="13"/>
      <c r="L338" s="26">
        <f>Table134567810111213141516171819202122232425262728303132[[#This Row],[الدولار]]+(Table134567810111213141516171819202122232425262728303132[[#This Row],[اللبناني]]/90)</f>
        <v>0</v>
      </c>
      <c r="M338" s="6"/>
    </row>
    <row r="339" spans="8:13" s="8" customFormat="1" x14ac:dyDescent="0.3">
      <c r="H339" s="5" t="s">
        <v>144</v>
      </c>
      <c r="I339" s="21"/>
      <c r="J339" s="13"/>
      <c r="L339" s="26">
        <f>Table134567810111213141516171819202122232425262728303132[[#This Row],[الدولار]]+(Table134567810111213141516171819202122232425262728303132[[#This Row],[اللبناني]]/90)</f>
        <v>0</v>
      </c>
      <c r="M339" s="6"/>
    </row>
    <row r="340" spans="8:13" s="8" customFormat="1" x14ac:dyDescent="0.3">
      <c r="H340" s="5" t="s">
        <v>144</v>
      </c>
      <c r="I340" s="21"/>
      <c r="J340" s="13"/>
      <c r="L340" s="26">
        <f>Table134567810111213141516171819202122232425262728303132[[#This Row],[الدولار]]+(Table134567810111213141516171819202122232425262728303132[[#This Row],[اللبناني]]/90)</f>
        <v>0</v>
      </c>
      <c r="M340" s="6"/>
    </row>
    <row r="341" spans="8:13" s="8" customFormat="1" x14ac:dyDescent="0.3">
      <c r="H341" s="5" t="s">
        <v>144</v>
      </c>
      <c r="I341" s="21"/>
      <c r="J341" s="13"/>
      <c r="L341" s="26">
        <f>Table134567810111213141516171819202122232425262728303132[[#This Row],[الدولار]]+(Table134567810111213141516171819202122232425262728303132[[#This Row],[اللبناني]]/90)</f>
        <v>0</v>
      </c>
      <c r="M341" s="6"/>
    </row>
    <row r="342" spans="8:13" s="8" customFormat="1" x14ac:dyDescent="0.3">
      <c r="H342" s="5" t="s">
        <v>144</v>
      </c>
      <c r="I342" s="21"/>
      <c r="J342" s="13"/>
      <c r="L342" s="26">
        <f>Table134567810111213141516171819202122232425262728303132[[#This Row],[الدولار]]+(Table134567810111213141516171819202122232425262728303132[[#This Row],[اللبناني]]/90)</f>
        <v>0</v>
      </c>
      <c r="M342" s="6"/>
    </row>
    <row r="343" spans="8:13" s="8" customFormat="1" x14ac:dyDescent="0.3">
      <c r="H343" s="5" t="s">
        <v>144</v>
      </c>
      <c r="I343" s="21"/>
      <c r="J343" s="13"/>
      <c r="L343" s="26">
        <f>Table134567810111213141516171819202122232425262728303132[[#This Row],[الدولار]]+(Table134567810111213141516171819202122232425262728303132[[#This Row],[اللبناني]]/90)</f>
        <v>0</v>
      </c>
      <c r="M343" s="6"/>
    </row>
    <row r="344" spans="8:13" s="8" customFormat="1" x14ac:dyDescent="0.3">
      <c r="H344" s="5" t="s">
        <v>144</v>
      </c>
      <c r="I344" s="21"/>
      <c r="J344" s="13"/>
      <c r="L344" s="26">
        <f>Table134567810111213141516171819202122232425262728303132[[#This Row],[الدولار]]+(Table134567810111213141516171819202122232425262728303132[[#This Row],[اللبناني]]/90)</f>
        <v>0</v>
      </c>
      <c r="M344" s="6"/>
    </row>
    <row r="345" spans="8:13" s="8" customFormat="1" x14ac:dyDescent="0.3">
      <c r="H345" s="5" t="s">
        <v>144</v>
      </c>
      <c r="I345" s="21"/>
      <c r="J345" s="13"/>
      <c r="L345" s="26">
        <f>Table134567810111213141516171819202122232425262728303132[[#This Row],[الدولار]]+(Table134567810111213141516171819202122232425262728303132[[#This Row],[اللبناني]]/90)</f>
        <v>0</v>
      </c>
      <c r="M345" s="6"/>
    </row>
    <row r="346" spans="8:13" s="8" customFormat="1" x14ac:dyDescent="0.3">
      <c r="H346" s="5" t="s">
        <v>144</v>
      </c>
      <c r="I346" s="21"/>
      <c r="J346" s="13"/>
      <c r="L346" s="26">
        <f>Table134567810111213141516171819202122232425262728303132[[#This Row],[الدولار]]+(Table134567810111213141516171819202122232425262728303132[[#This Row],[اللبناني]]/90)</f>
        <v>0</v>
      </c>
      <c r="M346" s="6"/>
    </row>
    <row r="347" spans="8:13" s="8" customFormat="1" x14ac:dyDescent="0.3">
      <c r="H347" s="5" t="s">
        <v>144</v>
      </c>
      <c r="I347" s="21"/>
      <c r="J347" s="13"/>
      <c r="L347" s="26">
        <f>Table134567810111213141516171819202122232425262728303132[[#This Row],[الدولار]]+(Table134567810111213141516171819202122232425262728303132[[#This Row],[اللبناني]]/90)</f>
        <v>0</v>
      </c>
      <c r="M347" s="6"/>
    </row>
    <row r="348" spans="8:13" s="8" customFormat="1" x14ac:dyDescent="0.3">
      <c r="H348" s="5" t="s">
        <v>144</v>
      </c>
      <c r="I348" s="21"/>
      <c r="J348" s="13"/>
      <c r="L348" s="26">
        <f>Table134567810111213141516171819202122232425262728303132[[#This Row],[الدولار]]+(Table134567810111213141516171819202122232425262728303132[[#This Row],[اللبناني]]/90)</f>
        <v>0</v>
      </c>
      <c r="M348" s="6"/>
    </row>
    <row r="349" spans="8:13" s="8" customFormat="1" x14ac:dyDescent="0.3">
      <c r="H349" s="5" t="s">
        <v>144</v>
      </c>
      <c r="I349" s="21"/>
      <c r="J349" s="13"/>
      <c r="L349" s="26">
        <f>Table134567810111213141516171819202122232425262728303132[[#This Row],[الدولار]]+(Table134567810111213141516171819202122232425262728303132[[#This Row],[اللبناني]]/90)</f>
        <v>0</v>
      </c>
      <c r="M349" s="6"/>
    </row>
    <row r="350" spans="8:13" s="8" customFormat="1" x14ac:dyDescent="0.3">
      <c r="H350" s="5" t="s">
        <v>144</v>
      </c>
      <c r="I350" s="21"/>
      <c r="J350" s="13"/>
      <c r="L350" s="26">
        <f>Table134567810111213141516171819202122232425262728303132[[#This Row],[الدولار]]+(Table134567810111213141516171819202122232425262728303132[[#This Row],[اللبناني]]/90)</f>
        <v>0</v>
      </c>
      <c r="M350" s="6"/>
    </row>
    <row r="351" spans="8:13" s="8" customFormat="1" x14ac:dyDescent="0.3">
      <c r="H351" s="5" t="s">
        <v>144</v>
      </c>
      <c r="I351" s="21"/>
      <c r="J351" s="13"/>
      <c r="L351" s="26">
        <f>Table134567810111213141516171819202122232425262728303132[[#This Row],[الدولار]]+(Table134567810111213141516171819202122232425262728303132[[#This Row],[اللبناني]]/90)</f>
        <v>0</v>
      </c>
      <c r="M351" s="6"/>
    </row>
    <row r="352" spans="8:13" s="8" customFormat="1" x14ac:dyDescent="0.3">
      <c r="H352" s="5" t="s">
        <v>144</v>
      </c>
      <c r="I352" s="21"/>
      <c r="J352" s="13"/>
      <c r="L352" s="26">
        <f>Table134567810111213141516171819202122232425262728303132[[#This Row],[الدولار]]+(Table134567810111213141516171819202122232425262728303132[[#This Row],[اللبناني]]/90)</f>
        <v>0</v>
      </c>
      <c r="M352" s="6"/>
    </row>
    <row r="353" spans="8:13" s="8" customFormat="1" x14ac:dyDescent="0.3">
      <c r="H353" s="5" t="s">
        <v>144</v>
      </c>
      <c r="I353" s="21"/>
      <c r="J353" s="13"/>
      <c r="L353" s="26">
        <f>Table134567810111213141516171819202122232425262728303132[[#This Row],[الدولار]]+(Table134567810111213141516171819202122232425262728303132[[#This Row],[اللبناني]]/90)</f>
        <v>0</v>
      </c>
      <c r="M353" s="6"/>
    </row>
    <row r="354" spans="8:13" s="8" customFormat="1" x14ac:dyDescent="0.3">
      <c r="H354" s="5" t="s">
        <v>144</v>
      </c>
      <c r="I354" s="21"/>
      <c r="J354" s="13"/>
      <c r="L354" s="26">
        <f>Table134567810111213141516171819202122232425262728303132[[#This Row],[الدولار]]+(Table134567810111213141516171819202122232425262728303132[[#This Row],[اللبناني]]/90)</f>
        <v>0</v>
      </c>
      <c r="M354" s="6"/>
    </row>
    <row r="355" spans="8:13" s="8" customFormat="1" x14ac:dyDescent="0.3">
      <c r="H355" s="5" t="s">
        <v>144</v>
      </c>
      <c r="I355" s="21"/>
      <c r="J355" s="13"/>
      <c r="L355" s="26">
        <f>Table134567810111213141516171819202122232425262728303132[[#This Row],[الدولار]]+(Table134567810111213141516171819202122232425262728303132[[#This Row],[اللبناني]]/90)</f>
        <v>0</v>
      </c>
      <c r="M355" s="6"/>
    </row>
    <row r="356" spans="8:13" s="8" customFormat="1" x14ac:dyDescent="0.3">
      <c r="H356" s="5" t="s">
        <v>144</v>
      </c>
      <c r="I356" s="21"/>
      <c r="J356" s="13"/>
      <c r="L356" s="26">
        <f>Table134567810111213141516171819202122232425262728303132[[#This Row],[الدولار]]+(Table134567810111213141516171819202122232425262728303132[[#This Row],[اللبناني]]/90)</f>
        <v>0</v>
      </c>
      <c r="M356" s="6"/>
    </row>
    <row r="357" spans="8:13" s="8" customFormat="1" x14ac:dyDescent="0.3">
      <c r="H357" s="5" t="s">
        <v>144</v>
      </c>
      <c r="I357" s="21"/>
      <c r="J357" s="13"/>
      <c r="L357" s="26">
        <f>Table134567810111213141516171819202122232425262728303132[[#This Row],[الدولار]]+(Table134567810111213141516171819202122232425262728303132[[#This Row],[اللبناني]]/90)</f>
        <v>0</v>
      </c>
      <c r="M357" s="6"/>
    </row>
    <row r="358" spans="8:13" s="8" customFormat="1" x14ac:dyDescent="0.3">
      <c r="H358" s="5" t="s">
        <v>144</v>
      </c>
      <c r="I358" s="21"/>
      <c r="J358" s="13"/>
      <c r="L358" s="26">
        <f>Table134567810111213141516171819202122232425262728303132[[#This Row],[الدولار]]+(Table134567810111213141516171819202122232425262728303132[[#This Row],[اللبناني]]/90)</f>
        <v>0</v>
      </c>
      <c r="M358" s="6"/>
    </row>
    <row r="359" spans="8:13" s="8" customFormat="1" x14ac:dyDescent="0.3">
      <c r="H359" s="5" t="s">
        <v>144</v>
      </c>
      <c r="I359" s="21"/>
      <c r="J359" s="13"/>
      <c r="L359" s="26">
        <f>Table134567810111213141516171819202122232425262728303132[[#This Row],[الدولار]]+(Table134567810111213141516171819202122232425262728303132[[#This Row],[اللبناني]]/90)</f>
        <v>0</v>
      </c>
      <c r="M359" s="6"/>
    </row>
    <row r="360" spans="8:13" s="8" customFormat="1" x14ac:dyDescent="0.3">
      <c r="H360" s="5" t="s">
        <v>144</v>
      </c>
      <c r="I360" s="21"/>
      <c r="J360" s="13"/>
      <c r="L360" s="26">
        <f>Table134567810111213141516171819202122232425262728303132[[#This Row],[الدولار]]+(Table134567810111213141516171819202122232425262728303132[[#This Row],[اللبناني]]/90)</f>
        <v>0</v>
      </c>
      <c r="M360" s="6"/>
    </row>
    <row r="361" spans="8:13" s="8" customFormat="1" x14ac:dyDescent="0.3">
      <c r="H361" s="5" t="s">
        <v>144</v>
      </c>
      <c r="I361" s="21"/>
      <c r="J361" s="13"/>
      <c r="L361" s="26">
        <f>Table134567810111213141516171819202122232425262728303132[[#This Row],[الدولار]]+(Table134567810111213141516171819202122232425262728303132[[#This Row],[اللبناني]]/90)</f>
        <v>0</v>
      </c>
      <c r="M361" s="6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.3" footer="0.3"/>
  <pageSetup paperSize="9" scale="65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38D66-176E-439E-9863-8B8FA930FBA6}">
  <sheetPr>
    <pageSetUpPr fitToPage="1"/>
  </sheetPr>
  <dimension ref="A1:S361"/>
  <sheetViews>
    <sheetView rightToLeft="1" topLeftCell="A69" zoomScale="115" zoomScaleNormal="115" workbookViewId="0">
      <selection activeCell="I108" sqref="I108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8.44140625" style="2" bestFit="1" customWidth="1"/>
    <col min="4" max="4" width="10.44140625" style="2" customWidth="1"/>
    <col min="5" max="5" width="7" style="2" customWidth="1"/>
    <col min="6" max="6" width="11.44140625" style="2" bestFit="1" customWidth="1"/>
    <col min="7" max="7" width="2.44140625" style="2" customWidth="1"/>
    <col min="8" max="8" width="8.88671875" style="2" bestFit="1" customWidth="1"/>
    <col min="9" max="9" width="17.88671875" style="21" customWidth="1"/>
    <col min="10" max="10" width="12.109375" style="7" bestFit="1" customWidth="1"/>
    <col min="11" max="11" width="8.5546875" style="8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1.109375" style="2" bestFit="1" customWidth="1"/>
    <col min="20" max="16384" width="8.88671875" style="2"/>
  </cols>
  <sheetData>
    <row r="1" spans="1:19" x14ac:dyDescent="0.3">
      <c r="I1" s="21" t="s">
        <v>22</v>
      </c>
      <c r="J1" s="7">
        <f>SUM(J3:J18)</f>
        <v>-100</v>
      </c>
      <c r="K1" s="7">
        <f>SUM(K3:K18)</f>
        <v>20</v>
      </c>
      <c r="L1" s="7">
        <f>SUM(L3:L18)</f>
        <v>18.888888888888889</v>
      </c>
    </row>
    <row r="2" spans="1:19" x14ac:dyDescent="0.3">
      <c r="H2" s="2" t="s">
        <v>136</v>
      </c>
      <c r="I2" s="22" t="s">
        <v>6</v>
      </c>
      <c r="J2" s="3" t="s">
        <v>5</v>
      </c>
      <c r="K2" s="9" t="s">
        <v>4</v>
      </c>
      <c r="L2" s="9" t="s">
        <v>125</v>
      </c>
    </row>
    <row r="3" spans="1:19" x14ac:dyDescent="0.3">
      <c r="H3" s="5" t="s">
        <v>144</v>
      </c>
      <c r="I3" s="23"/>
      <c r="J3" s="15"/>
      <c r="K3" s="8">
        <v>20</v>
      </c>
      <c r="L3" s="26">
        <f t="shared" ref="L3:L18" si="0">K3+(J3/90)</f>
        <v>20</v>
      </c>
    </row>
    <row r="4" spans="1:19" x14ac:dyDescent="0.3">
      <c r="H4" s="5" t="s">
        <v>145</v>
      </c>
      <c r="I4" s="23"/>
      <c r="J4" s="15">
        <v>-100</v>
      </c>
      <c r="L4" s="26">
        <f t="shared" si="0"/>
        <v>-1.1111111111111112</v>
      </c>
    </row>
    <row r="5" spans="1:19" x14ac:dyDescent="0.3">
      <c r="H5" s="5" t="s">
        <v>144</v>
      </c>
      <c r="I5" s="23"/>
      <c r="J5" s="15">
        <v>-100</v>
      </c>
      <c r="K5" s="8">
        <v>-20</v>
      </c>
      <c r="L5" s="26">
        <f t="shared" si="0"/>
        <v>-21.111111111111111</v>
      </c>
    </row>
    <row r="6" spans="1:19" x14ac:dyDescent="0.3">
      <c r="H6" s="5" t="s">
        <v>144</v>
      </c>
      <c r="I6" s="23"/>
      <c r="J6" s="15"/>
      <c r="K6" s="8">
        <v>5</v>
      </c>
      <c r="L6" s="26">
        <f t="shared" si="0"/>
        <v>5</v>
      </c>
    </row>
    <row r="7" spans="1:19" x14ac:dyDescent="0.3">
      <c r="H7" s="5" t="s">
        <v>144</v>
      </c>
      <c r="I7" s="23"/>
      <c r="J7" s="15">
        <v>200</v>
      </c>
      <c r="L7" s="26">
        <f t="shared" si="0"/>
        <v>2.2222222222222223</v>
      </c>
    </row>
    <row r="8" spans="1:19" x14ac:dyDescent="0.3">
      <c r="H8" s="5" t="s">
        <v>144</v>
      </c>
      <c r="I8" s="23"/>
      <c r="J8" s="15">
        <v>150</v>
      </c>
      <c r="L8" s="26">
        <f t="shared" si="0"/>
        <v>1.6666666666666667</v>
      </c>
    </row>
    <row r="9" spans="1:19" x14ac:dyDescent="0.3">
      <c r="H9" s="5" t="s">
        <v>144</v>
      </c>
      <c r="I9" s="23"/>
      <c r="J9" s="15">
        <v>-315</v>
      </c>
      <c r="K9" s="8">
        <v>5</v>
      </c>
      <c r="L9" s="26">
        <f t="shared" si="0"/>
        <v>1.5</v>
      </c>
    </row>
    <row r="10" spans="1:19" x14ac:dyDescent="0.3">
      <c r="H10" s="5" t="s">
        <v>144</v>
      </c>
      <c r="I10" s="23"/>
      <c r="J10" s="15">
        <v>-315</v>
      </c>
      <c r="K10" s="8">
        <v>10</v>
      </c>
      <c r="L10" s="26">
        <f t="shared" si="0"/>
        <v>6.5</v>
      </c>
    </row>
    <row r="11" spans="1:19" s="6" customFormat="1" x14ac:dyDescent="0.3">
      <c r="A11" s="2"/>
      <c r="B11" s="2"/>
      <c r="C11" s="2"/>
      <c r="D11" s="2"/>
      <c r="E11" s="2"/>
      <c r="F11" s="2"/>
      <c r="G11" s="2"/>
      <c r="H11" s="5" t="s">
        <v>144</v>
      </c>
      <c r="I11" s="24"/>
      <c r="J11" s="15">
        <v>380</v>
      </c>
      <c r="K11" s="8"/>
      <c r="L11" s="26">
        <f t="shared" si="0"/>
        <v>4.2222222222222223</v>
      </c>
      <c r="N11" s="2"/>
      <c r="O11" s="2"/>
      <c r="P11" s="2"/>
      <c r="Q11" s="2"/>
      <c r="R11" s="2"/>
      <c r="S11" s="2"/>
    </row>
    <row r="12" spans="1:19" s="6" customFormat="1" x14ac:dyDescent="0.3">
      <c r="A12" s="2"/>
      <c r="B12" s="2"/>
      <c r="C12" s="2"/>
      <c r="D12" s="2"/>
      <c r="E12" s="2"/>
      <c r="F12" s="2"/>
      <c r="G12" s="2"/>
      <c r="H12" s="5" t="s">
        <v>144</v>
      </c>
      <c r="I12" s="23"/>
      <c r="J12" s="15"/>
      <c r="K12" s="8"/>
      <c r="L12" s="26">
        <f t="shared" si="0"/>
        <v>0</v>
      </c>
      <c r="N12" s="2"/>
      <c r="O12" s="2"/>
      <c r="P12" s="2"/>
      <c r="Q12" s="2"/>
      <c r="R12" s="2"/>
      <c r="S12" s="2"/>
    </row>
    <row r="13" spans="1:19" s="6" customFormat="1" x14ac:dyDescent="0.3">
      <c r="A13" s="2"/>
      <c r="B13" s="2"/>
      <c r="C13" s="2"/>
      <c r="D13" s="2"/>
      <c r="E13" s="2"/>
      <c r="F13" s="2"/>
      <c r="G13" s="2"/>
      <c r="H13" s="5" t="s">
        <v>144</v>
      </c>
      <c r="I13" s="23"/>
      <c r="J13" s="15"/>
      <c r="K13" s="8"/>
      <c r="L13" s="26">
        <f t="shared" si="0"/>
        <v>0</v>
      </c>
      <c r="N13" s="2"/>
      <c r="O13" s="2"/>
      <c r="P13" s="2"/>
      <c r="Q13" s="2"/>
      <c r="R13" s="2"/>
      <c r="S13" s="2"/>
    </row>
    <row r="14" spans="1:19" s="6" customFormat="1" x14ac:dyDescent="0.3">
      <c r="A14" s="2"/>
      <c r="B14" s="2"/>
      <c r="C14" s="2"/>
      <c r="D14" s="2"/>
      <c r="E14" s="2"/>
      <c r="F14" s="2"/>
      <c r="G14" s="2"/>
      <c r="H14" s="5" t="s">
        <v>144</v>
      </c>
      <c r="I14" s="23"/>
      <c r="J14" s="15"/>
      <c r="K14" s="8"/>
      <c r="L14" s="26">
        <f t="shared" si="0"/>
        <v>0</v>
      </c>
      <c r="N14" s="2"/>
      <c r="O14" s="2"/>
      <c r="P14" s="2"/>
      <c r="Q14" s="2"/>
      <c r="R14" s="2"/>
      <c r="S14" s="2"/>
    </row>
    <row r="15" spans="1:19" s="6" customFormat="1" x14ac:dyDescent="0.3">
      <c r="A15" s="2"/>
      <c r="B15" s="2"/>
      <c r="C15" s="2"/>
      <c r="D15" s="2"/>
      <c r="E15" s="2"/>
      <c r="F15" s="2"/>
      <c r="G15" s="2"/>
      <c r="H15" s="5" t="s">
        <v>144</v>
      </c>
      <c r="I15" s="23"/>
      <c r="J15" s="15"/>
      <c r="K15" s="8"/>
      <c r="L15" s="26">
        <f t="shared" si="0"/>
        <v>0</v>
      </c>
      <c r="N15" s="2"/>
      <c r="O15" s="2"/>
      <c r="P15" s="2"/>
      <c r="Q15" s="2"/>
      <c r="R15" s="2"/>
      <c r="S15" s="2"/>
    </row>
    <row r="16" spans="1:19" s="6" customFormat="1" x14ac:dyDescent="0.3">
      <c r="A16" s="2"/>
      <c r="B16" s="2"/>
      <c r="C16" s="2"/>
      <c r="D16" s="2"/>
      <c r="E16" s="2"/>
      <c r="F16" s="2"/>
      <c r="G16" s="2"/>
      <c r="H16" s="5" t="s">
        <v>144</v>
      </c>
      <c r="I16" s="23"/>
      <c r="J16" s="15"/>
      <c r="K16" s="8"/>
      <c r="L16" s="26">
        <f t="shared" si="0"/>
        <v>0</v>
      </c>
      <c r="N16" s="2"/>
      <c r="O16" s="2"/>
      <c r="P16" s="2"/>
      <c r="Q16" s="2"/>
      <c r="R16" s="2"/>
      <c r="S16" s="2"/>
    </row>
    <row r="17" spans="1:19" s="6" customFormat="1" x14ac:dyDescent="0.3">
      <c r="A17" s="2"/>
      <c r="B17" s="2"/>
      <c r="C17" s="2"/>
      <c r="D17" s="2"/>
      <c r="E17" s="2"/>
      <c r="F17" s="2"/>
      <c r="G17" s="2"/>
      <c r="H17" s="5" t="s">
        <v>144</v>
      </c>
      <c r="I17" s="23"/>
      <c r="J17" s="15"/>
      <c r="K17" s="8"/>
      <c r="L17" s="26">
        <f t="shared" si="0"/>
        <v>0</v>
      </c>
      <c r="N17" s="2"/>
      <c r="O17" s="2"/>
      <c r="P17" s="2"/>
      <c r="Q17" s="2"/>
      <c r="R17" s="2"/>
      <c r="S17" s="2"/>
    </row>
    <row r="18" spans="1:19" s="6" customFormat="1" x14ac:dyDescent="0.3">
      <c r="A18" s="2" t="s">
        <v>240</v>
      </c>
      <c r="B18" s="2"/>
      <c r="C18" s="2"/>
      <c r="D18" s="2"/>
      <c r="E18" s="2"/>
      <c r="F18" s="2"/>
      <c r="G18" s="2"/>
      <c r="H18" s="5" t="s">
        <v>144</v>
      </c>
      <c r="I18" s="23"/>
      <c r="J18" s="15"/>
      <c r="K18" s="8"/>
      <c r="L18" s="26">
        <f t="shared" si="0"/>
        <v>0</v>
      </c>
      <c r="N18" s="2"/>
      <c r="O18" s="2"/>
      <c r="P18" s="2"/>
      <c r="Q18" s="2"/>
      <c r="R18" s="2"/>
      <c r="S18" s="2"/>
    </row>
    <row r="19" spans="1:19" s="6" customFormat="1" x14ac:dyDescent="0.3">
      <c r="A19" s="31" t="s">
        <v>303</v>
      </c>
      <c r="B19" s="2"/>
      <c r="C19" s="2"/>
      <c r="D19" s="2"/>
      <c r="E19" s="2"/>
      <c r="F19" s="2"/>
      <c r="G19" s="2"/>
      <c r="H19" s="2"/>
      <c r="I19" s="21"/>
      <c r="J19" s="7"/>
      <c r="K19" s="8"/>
      <c r="N19" s="2"/>
      <c r="O19" s="2"/>
      <c r="P19" s="2"/>
      <c r="Q19" s="2"/>
      <c r="R19" s="2"/>
      <c r="S19" s="2"/>
    </row>
    <row r="20" spans="1:19" x14ac:dyDescent="0.3">
      <c r="A20" s="48" t="s">
        <v>19</v>
      </c>
      <c r="B20" s="48"/>
      <c r="C20" s="48"/>
      <c r="D20" s="48"/>
      <c r="E20" s="48"/>
      <c r="F20" s="48"/>
      <c r="I20" s="21" t="s">
        <v>22</v>
      </c>
      <c r="J20" s="7">
        <f>SUM(Table13456781011121314151617181920212223242526272830313233[اللبناني])</f>
        <v>-1325</v>
      </c>
      <c r="K20" s="7">
        <f>SUM(Table13456781011121314151617181920212223242526272830313233[الدولار])</f>
        <v>52</v>
      </c>
      <c r="L20" s="7">
        <f>SUM(Table13456781011121314151617181920212223242526272830313233[مبيع $])</f>
        <v>37.277777777777551</v>
      </c>
      <c r="N20" s="48" t="s">
        <v>21</v>
      </c>
      <c r="O20" s="48"/>
      <c r="P20" s="48"/>
      <c r="Q20" s="48"/>
      <c r="R20" s="48"/>
      <c r="S20" s="48"/>
    </row>
    <row r="21" spans="1:19" x14ac:dyDescent="0.3">
      <c r="A21" s="1" t="s">
        <v>2</v>
      </c>
      <c r="B21" s="1" t="s">
        <v>0</v>
      </c>
      <c r="C21" s="1" t="s">
        <v>1</v>
      </c>
      <c r="D21" s="1" t="s">
        <v>3</v>
      </c>
      <c r="E21" s="1" t="s">
        <v>0</v>
      </c>
      <c r="F21" s="1" t="s">
        <v>1</v>
      </c>
      <c r="H21" s="2" t="s">
        <v>136</v>
      </c>
      <c r="I21" s="22" t="s">
        <v>6</v>
      </c>
      <c r="J21" s="3" t="s">
        <v>5</v>
      </c>
      <c r="K21" s="9" t="s">
        <v>4</v>
      </c>
      <c r="L21" s="9" t="s">
        <v>125</v>
      </c>
      <c r="M21" s="2"/>
      <c r="N21" s="1" t="s">
        <v>2</v>
      </c>
      <c r="O21" s="1" t="s">
        <v>0</v>
      </c>
      <c r="P21" s="1" t="s">
        <v>1</v>
      </c>
      <c r="Q21" s="1" t="s">
        <v>3</v>
      </c>
      <c r="R21" s="1" t="s">
        <v>0</v>
      </c>
      <c r="S21" s="1" t="s">
        <v>1</v>
      </c>
    </row>
    <row r="22" spans="1:19" x14ac:dyDescent="0.3">
      <c r="A22" s="11">
        <v>1</v>
      </c>
      <c r="B22" s="2">
        <v>9</v>
      </c>
      <c r="C22" s="16">
        <f>A22*B22</f>
        <v>9</v>
      </c>
      <c r="D22" s="12">
        <v>5</v>
      </c>
      <c r="E22" s="2">
        <v>33</v>
      </c>
      <c r="F22" s="18">
        <f>D22*E22</f>
        <v>165</v>
      </c>
      <c r="G22" s="5"/>
      <c r="H22" s="5" t="s">
        <v>144</v>
      </c>
      <c r="I22" s="23" t="s">
        <v>304</v>
      </c>
      <c r="J22" s="15"/>
      <c r="K22" s="8">
        <v>2</v>
      </c>
      <c r="L22" s="26">
        <f>Table13456781011121314151617181920212223242526272830313233[[#This Row],[الدولار]]+(Table13456781011121314151617181920212223242526272830313233[[#This Row],[اللبناني]]/90)</f>
        <v>2</v>
      </c>
      <c r="N22" s="11">
        <v>1</v>
      </c>
      <c r="O22" s="2">
        <v>10</v>
      </c>
      <c r="P22" s="16">
        <f>N22*O22</f>
        <v>10</v>
      </c>
      <c r="Q22" s="12">
        <v>5</v>
      </c>
      <c r="R22" s="2">
        <v>33</v>
      </c>
      <c r="S22" s="18">
        <f>Q22*R22</f>
        <v>165</v>
      </c>
    </row>
    <row r="23" spans="1:19" x14ac:dyDescent="0.3">
      <c r="A23" s="11">
        <v>5</v>
      </c>
      <c r="B23" s="2">
        <v>1</v>
      </c>
      <c r="C23" s="16">
        <f t="shared" ref="C23:C27" si="1">A23*B23</f>
        <v>5</v>
      </c>
      <c r="D23" s="12">
        <v>10</v>
      </c>
      <c r="E23" s="2">
        <v>21</v>
      </c>
      <c r="F23" s="18">
        <f t="shared" ref="F23:F26" si="2">D23*E23</f>
        <v>210</v>
      </c>
      <c r="G23" s="5"/>
      <c r="H23" s="5" t="s">
        <v>144</v>
      </c>
      <c r="I23" s="23" t="s">
        <v>305</v>
      </c>
      <c r="J23" s="15"/>
      <c r="K23" s="8">
        <v>20</v>
      </c>
      <c r="L23" s="26">
        <f>Table13456781011121314151617181920212223242526272830313233[[#This Row],[الدولار]]+(Table13456781011121314151617181920212223242526272830313233[[#This Row],[اللبناني]]/90)</f>
        <v>20</v>
      </c>
      <c r="N23" s="11">
        <v>5</v>
      </c>
      <c r="O23" s="2">
        <v>4</v>
      </c>
      <c r="P23" s="16">
        <f t="shared" ref="P23:P27" si="3">N23*O23</f>
        <v>20</v>
      </c>
      <c r="Q23" s="12">
        <v>10</v>
      </c>
      <c r="R23" s="2">
        <v>24</v>
      </c>
      <c r="S23" s="18">
        <f t="shared" ref="S23:S26" si="4">Q23*R23</f>
        <v>240</v>
      </c>
    </row>
    <row r="24" spans="1:19" x14ac:dyDescent="0.3">
      <c r="A24" s="11">
        <v>10</v>
      </c>
      <c r="B24" s="2">
        <v>27</v>
      </c>
      <c r="C24" s="16">
        <f t="shared" si="1"/>
        <v>270</v>
      </c>
      <c r="D24" s="12">
        <v>20</v>
      </c>
      <c r="E24" s="2">
        <v>26</v>
      </c>
      <c r="F24" s="18">
        <f t="shared" si="2"/>
        <v>520</v>
      </c>
      <c r="G24" s="5"/>
      <c r="H24" s="5" t="s">
        <v>145</v>
      </c>
      <c r="I24" s="23" t="s">
        <v>42</v>
      </c>
      <c r="J24" s="15">
        <v>-300</v>
      </c>
      <c r="L24" s="26">
        <f>Table13456781011121314151617181920212223242526272830313233[[#This Row],[الدولار]]+(Table13456781011121314151617181920212223242526272830313233[[#This Row],[اللبناني]]/90)</f>
        <v>-3.3333333333333335</v>
      </c>
      <c r="N24" s="11">
        <v>10</v>
      </c>
      <c r="O24" s="2">
        <v>28</v>
      </c>
      <c r="P24" s="16">
        <f t="shared" si="3"/>
        <v>280</v>
      </c>
      <c r="Q24" s="12">
        <v>20</v>
      </c>
      <c r="R24" s="2">
        <v>24</v>
      </c>
      <c r="S24" s="18">
        <f t="shared" si="4"/>
        <v>480</v>
      </c>
    </row>
    <row r="25" spans="1:19" x14ac:dyDescent="0.3">
      <c r="A25" s="11">
        <v>20</v>
      </c>
      <c r="B25" s="2">
        <v>29</v>
      </c>
      <c r="C25" s="16">
        <f t="shared" si="1"/>
        <v>580</v>
      </c>
      <c r="D25" s="12">
        <v>50</v>
      </c>
      <c r="E25" s="2">
        <v>4</v>
      </c>
      <c r="F25" s="18">
        <f t="shared" si="2"/>
        <v>200</v>
      </c>
      <c r="G25" s="5"/>
      <c r="H25" s="5" t="s">
        <v>144</v>
      </c>
      <c r="I25" s="23" t="s">
        <v>306</v>
      </c>
      <c r="J25" s="15">
        <v>130</v>
      </c>
      <c r="K25" s="8">
        <v>20</v>
      </c>
      <c r="L25" s="26">
        <f>Table13456781011121314151617181920212223242526272830313233[[#This Row],[الدولار]]+(Table13456781011121314151617181920212223242526272830313233[[#This Row],[اللبناني]]/90)</f>
        <v>21.444444444444443</v>
      </c>
      <c r="N25" s="11">
        <v>20</v>
      </c>
      <c r="O25" s="2">
        <v>34</v>
      </c>
      <c r="P25" s="16">
        <f t="shared" si="3"/>
        <v>680</v>
      </c>
      <c r="Q25" s="12">
        <v>50</v>
      </c>
      <c r="R25" s="2">
        <v>3</v>
      </c>
      <c r="S25" s="18">
        <f t="shared" si="4"/>
        <v>150</v>
      </c>
    </row>
    <row r="26" spans="1:19" x14ac:dyDescent="0.3">
      <c r="A26" s="11">
        <v>50</v>
      </c>
      <c r="B26" s="2">
        <v>2</v>
      </c>
      <c r="C26" s="16">
        <f t="shared" si="1"/>
        <v>100</v>
      </c>
      <c r="D26" s="12">
        <v>100</v>
      </c>
      <c r="E26" s="2">
        <v>54</v>
      </c>
      <c r="F26" s="18">
        <f t="shared" si="2"/>
        <v>5400</v>
      </c>
      <c r="G26" s="5"/>
      <c r="H26" s="5" t="s">
        <v>144</v>
      </c>
      <c r="I26" s="24" t="s">
        <v>307</v>
      </c>
      <c r="J26" s="15">
        <v>-200</v>
      </c>
      <c r="K26" s="8">
        <v>35</v>
      </c>
      <c r="L26" s="26">
        <f>Table13456781011121314151617181920212223242526272830313233[[#This Row],[الدولار]]+(Table13456781011121314151617181920212223242526272830313233[[#This Row],[اللبناني]]/90)</f>
        <v>32.777777777777779</v>
      </c>
      <c r="N26" s="11">
        <v>50</v>
      </c>
      <c r="O26" s="2">
        <v>4</v>
      </c>
      <c r="P26" s="16">
        <f t="shared" si="3"/>
        <v>200</v>
      </c>
      <c r="Q26" s="12">
        <v>100</v>
      </c>
      <c r="R26" s="2">
        <v>55</v>
      </c>
      <c r="S26" s="18">
        <f t="shared" si="4"/>
        <v>5500</v>
      </c>
    </row>
    <row r="27" spans="1:19" x14ac:dyDescent="0.3">
      <c r="A27" s="11">
        <v>100</v>
      </c>
      <c r="B27" s="2">
        <v>1</v>
      </c>
      <c r="C27" s="16">
        <f t="shared" si="1"/>
        <v>100</v>
      </c>
      <c r="D27" s="1" t="s">
        <v>1</v>
      </c>
      <c r="E27" s="1"/>
      <c r="F27" s="14">
        <f>SUM(F22:F26)</f>
        <v>6495</v>
      </c>
      <c r="G27" s="5"/>
      <c r="H27" s="5" t="s">
        <v>144</v>
      </c>
      <c r="I27" s="23" t="s">
        <v>308</v>
      </c>
      <c r="J27" s="15"/>
      <c r="K27" s="8">
        <v>120</v>
      </c>
      <c r="L27" s="26">
        <f>Table13456781011121314151617181920212223242526272830313233[[#This Row],[الدولار]]+(Table13456781011121314151617181920212223242526272830313233[[#This Row],[اللبناني]]/90)</f>
        <v>120</v>
      </c>
      <c r="N27" s="11">
        <v>100</v>
      </c>
      <c r="O27" s="2">
        <v>6</v>
      </c>
      <c r="P27" s="16">
        <f t="shared" si="3"/>
        <v>600</v>
      </c>
      <c r="Q27" s="1" t="s">
        <v>1</v>
      </c>
      <c r="R27" s="1"/>
      <c r="S27" s="14">
        <f>SUM(S22:S26)</f>
        <v>6535</v>
      </c>
    </row>
    <row r="28" spans="1:19" x14ac:dyDescent="0.3">
      <c r="A28" s="1" t="s">
        <v>1</v>
      </c>
      <c r="B28" s="1"/>
      <c r="C28" s="17">
        <f>SUM(C22:C27)</f>
        <v>1064</v>
      </c>
      <c r="H28" s="5" t="s">
        <v>144</v>
      </c>
      <c r="I28" s="23" t="s">
        <v>86</v>
      </c>
      <c r="J28" s="15">
        <v>-400</v>
      </c>
      <c r="K28" s="8">
        <v>10</v>
      </c>
      <c r="L28" s="26">
        <f>Table13456781011121314151617181920212223242526272830313233[[#This Row],[الدولار]]+(Table13456781011121314151617181920212223242526272830313233[[#This Row],[اللبناني]]/90)</f>
        <v>5.5555555555555554</v>
      </c>
      <c r="N28" s="1" t="s">
        <v>1</v>
      </c>
      <c r="O28" s="1"/>
      <c r="P28" s="17">
        <f>SUM(P22:P27)</f>
        <v>1790</v>
      </c>
      <c r="S28" s="15"/>
    </row>
    <row r="29" spans="1:19" x14ac:dyDescent="0.3">
      <c r="B29" s="2">
        <v>0</v>
      </c>
      <c r="C29" s="20"/>
      <c r="D29" s="47" t="s">
        <v>24</v>
      </c>
      <c r="E29" s="47"/>
      <c r="F29" s="19">
        <f ca="1">INDIRECT("'"&amp;$A$19&amp;"'!J20")+J1</f>
        <v>-1390</v>
      </c>
      <c r="H29" s="5" t="s">
        <v>144</v>
      </c>
      <c r="I29" s="23"/>
      <c r="J29" s="15">
        <v>300</v>
      </c>
      <c r="L29" s="26">
        <f>Table13456781011121314151617181920212223242526272830313233[[#This Row],[الدولار]]+(Table13456781011121314151617181920212223242526272830313233[[#This Row],[اللبناني]]/90)</f>
        <v>3.3333333333333335</v>
      </c>
      <c r="P29" s="20"/>
      <c r="Q29" s="47" t="s">
        <v>24</v>
      </c>
      <c r="R29" s="47"/>
      <c r="S29" s="19">
        <f>SUM(Table13456781011121314151617181920212223242526272830313233[اللبناني])</f>
        <v>-1325</v>
      </c>
    </row>
    <row r="30" spans="1:19" x14ac:dyDescent="0.3">
      <c r="A30" s="47" t="s">
        <v>23</v>
      </c>
      <c r="B30" s="47"/>
      <c r="C30" s="9">
        <f ca="1">INDIRECT("'"&amp;$A$19&amp;"'!K20")+K1</f>
        <v>-74</v>
      </c>
      <c r="F30" s="15"/>
      <c r="H30" s="5" t="s">
        <v>144</v>
      </c>
      <c r="I30" s="23" t="s">
        <v>104</v>
      </c>
      <c r="J30" s="15">
        <v>100</v>
      </c>
      <c r="L30" s="26">
        <f>Table13456781011121314151617181920212223242526272830313233[[#This Row],[الدولار]]+(Table13456781011121314151617181920212223242526272830313233[[#This Row],[اللبناني]]/90)</f>
        <v>1.1111111111111112</v>
      </c>
      <c r="N30" s="47" t="s">
        <v>23</v>
      </c>
      <c r="O30" s="47"/>
      <c r="P30" s="9">
        <f>SUM(Table13456781011121314151617181920212223242526272830313233[الدولار])</f>
        <v>52</v>
      </c>
      <c r="S30" s="15"/>
    </row>
    <row r="31" spans="1:19" x14ac:dyDescent="0.3">
      <c r="C31" s="20"/>
      <c r="D31" s="1" t="s">
        <v>17</v>
      </c>
      <c r="E31" s="1"/>
      <c r="F31" s="19">
        <f ca="1">F27-F29-INDIRECT("'"&amp;$A$19&amp;"'!f27")</f>
        <v>0</v>
      </c>
      <c r="H31" s="5" t="s">
        <v>144</v>
      </c>
      <c r="I31" s="23" t="s">
        <v>309</v>
      </c>
      <c r="J31" s="15">
        <v>150</v>
      </c>
      <c r="L31" s="26">
        <f>Table13456781011121314151617181920212223242526272830313233[[#This Row],[الدولار]]+(Table13456781011121314151617181920212223242526272830313233[[#This Row],[اللبناني]]/90)</f>
        <v>1.6666666666666667</v>
      </c>
      <c r="P31" s="20"/>
      <c r="Q31" s="1" t="s">
        <v>17</v>
      </c>
      <c r="R31" s="1"/>
      <c r="S31" s="19">
        <f>S27-S29-F27</f>
        <v>1365</v>
      </c>
    </row>
    <row r="32" spans="1:19" x14ac:dyDescent="0.3">
      <c r="A32" s="1" t="s">
        <v>17</v>
      </c>
      <c r="B32" s="1"/>
      <c r="C32" s="9">
        <f ca="1">C28-C30-INDIRECT("'"&amp;$A$19&amp;"'!c28")</f>
        <v>0</v>
      </c>
      <c r="H32" s="5" t="s">
        <v>144</v>
      </c>
      <c r="I32" s="23" t="s">
        <v>20</v>
      </c>
      <c r="J32" s="15">
        <v>360</v>
      </c>
      <c r="L32" s="26">
        <f>Table13456781011121314151617181920212223242526272830313233[[#This Row],[الدولار]]+(Table13456781011121314151617181920212223242526272830313233[[#This Row],[اللبناني]]/90)</f>
        <v>4</v>
      </c>
      <c r="N32" s="1" t="s">
        <v>17</v>
      </c>
      <c r="O32" s="1"/>
      <c r="P32" s="9">
        <f>P28-P30-C28</f>
        <v>674</v>
      </c>
    </row>
    <row r="33" spans="3:13" x14ac:dyDescent="0.3">
      <c r="C33" s="10"/>
      <c r="D33" s="10"/>
      <c r="F33" s="10"/>
      <c r="H33" s="5" t="s">
        <v>144</v>
      </c>
      <c r="I33" s="25" t="s">
        <v>310</v>
      </c>
      <c r="J33" s="13"/>
      <c r="K33" s="8">
        <v>130</v>
      </c>
      <c r="L33" s="26">
        <f>Table13456781011121314151617181920212223242526272830313233[[#This Row],[الدولار]]+(Table13456781011121314151617181920212223242526272830313233[[#This Row],[اللبناني]]/90)</f>
        <v>130</v>
      </c>
    </row>
    <row r="34" spans="3:13" x14ac:dyDescent="0.3">
      <c r="C34" s="10"/>
      <c r="D34" s="10"/>
      <c r="F34" s="10"/>
      <c r="H34" s="5" t="s">
        <v>144</v>
      </c>
      <c r="I34" s="25" t="s">
        <v>311</v>
      </c>
      <c r="J34" s="13"/>
      <c r="K34" s="8">
        <v>100</v>
      </c>
      <c r="L34" s="26">
        <f>Table13456781011121314151617181920212223242526272830313233[[#This Row],[الدولار]]+(Table13456781011121314151617181920212223242526272830313233[[#This Row],[اللبناني]]/90)</f>
        <v>100</v>
      </c>
    </row>
    <row r="35" spans="3:13" x14ac:dyDescent="0.3">
      <c r="C35" s="10"/>
      <c r="D35" s="10"/>
      <c r="F35" s="10"/>
      <c r="H35" s="5" t="s">
        <v>144</v>
      </c>
      <c r="I35" s="23" t="s">
        <v>288</v>
      </c>
      <c r="J35" s="13"/>
      <c r="K35" s="8">
        <v>33</v>
      </c>
      <c r="L35" s="26">
        <f>Table13456781011121314151617181920212223242526272830313233[[#This Row],[الدولار]]+(Table13456781011121314151617181920212223242526272830313233[[#This Row],[اللبناني]]/90)</f>
        <v>33</v>
      </c>
    </row>
    <row r="36" spans="3:13" s="8" customFormat="1" x14ac:dyDescent="0.3">
      <c r="C36" s="10"/>
      <c r="D36" s="10"/>
      <c r="E36" s="2"/>
      <c r="F36" s="10"/>
      <c r="G36" s="2"/>
      <c r="H36" s="5" t="s">
        <v>144</v>
      </c>
      <c r="I36" s="25"/>
      <c r="J36" s="15"/>
      <c r="K36" s="8">
        <v>2</v>
      </c>
      <c r="L36" s="26">
        <f>Table13456781011121314151617181920212223242526272830313233[[#This Row],[الدولار]]+(Table13456781011121314151617181920212223242526272830313233[[#This Row],[اللبناني]]/90)</f>
        <v>2</v>
      </c>
      <c r="M36" s="6"/>
    </row>
    <row r="37" spans="3:13" s="8" customFormat="1" x14ac:dyDescent="0.3">
      <c r="C37" s="10"/>
      <c r="D37" s="2"/>
      <c r="E37" s="2"/>
      <c r="F37" s="10"/>
      <c r="G37" s="2"/>
      <c r="H37" s="5" t="s">
        <v>144</v>
      </c>
      <c r="I37" s="25" t="s">
        <v>312</v>
      </c>
      <c r="J37" s="15">
        <v>-45</v>
      </c>
      <c r="K37" s="8">
        <v>15</v>
      </c>
      <c r="L37" s="26">
        <f>Table13456781011121314151617181920212223242526272830313233[[#This Row],[الدولار]]+(Table13456781011121314151617181920212223242526272830313233[[#This Row],[اللبناني]]/90)</f>
        <v>14.5</v>
      </c>
      <c r="M37" s="6"/>
    </row>
    <row r="38" spans="3:13" s="8" customFormat="1" x14ac:dyDescent="0.3">
      <c r="C38" s="10"/>
      <c r="D38" s="2"/>
      <c r="E38" s="2"/>
      <c r="F38" s="2"/>
      <c r="G38" s="2"/>
      <c r="H38" s="5" t="s">
        <v>144</v>
      </c>
      <c r="I38" s="25"/>
      <c r="J38" s="15">
        <v>200</v>
      </c>
      <c r="L38" s="26">
        <f>Table13456781011121314151617181920212223242526272830313233[[#This Row],[الدولار]]+(Table13456781011121314151617181920212223242526272830313233[[#This Row],[اللبناني]]/90)</f>
        <v>2.2222222222222223</v>
      </c>
      <c r="M38" s="6"/>
    </row>
    <row r="39" spans="3:13" s="8" customFormat="1" x14ac:dyDescent="0.3">
      <c r="C39" s="2"/>
      <c r="D39" s="2"/>
      <c r="E39" s="2"/>
      <c r="F39" s="6"/>
      <c r="G39" s="2"/>
      <c r="H39" s="5" t="s">
        <v>144</v>
      </c>
      <c r="I39" s="23" t="s">
        <v>313</v>
      </c>
      <c r="J39" s="15">
        <v>-100</v>
      </c>
      <c r="K39" s="8">
        <v>10</v>
      </c>
      <c r="L39" s="26">
        <f>Table13456781011121314151617181920212223242526272830313233[[#This Row],[الدولار]]+(Table13456781011121314151617181920212223242526272830313233[[#This Row],[اللبناني]]/90)</f>
        <v>8.8888888888888893</v>
      </c>
      <c r="M39" s="6"/>
    </row>
    <row r="40" spans="3:13" s="8" customFormat="1" x14ac:dyDescent="0.3">
      <c r="C40" s="6"/>
      <c r="D40" s="2"/>
      <c r="E40" s="2"/>
      <c r="F40" s="2"/>
      <c r="G40" s="2"/>
      <c r="H40" s="5" t="s">
        <v>144</v>
      </c>
      <c r="I40" s="23" t="s">
        <v>314</v>
      </c>
      <c r="J40" s="15">
        <v>600</v>
      </c>
      <c r="L40" s="26">
        <f>Table13456781011121314151617181920212223242526272830313233[[#This Row],[الدولار]]+(Table13456781011121314151617181920212223242526272830313233[[#This Row],[اللبناني]]/90)</f>
        <v>6.666666666666667</v>
      </c>
      <c r="M40" s="6"/>
    </row>
    <row r="41" spans="3:13" s="8" customFormat="1" x14ac:dyDescent="0.3">
      <c r="C41" s="2"/>
      <c r="D41" s="2"/>
      <c r="E41" s="2"/>
      <c r="F41" s="6"/>
      <c r="G41" s="2"/>
      <c r="H41" s="5" t="s">
        <v>146</v>
      </c>
      <c r="I41" s="23" t="s">
        <v>13</v>
      </c>
      <c r="J41" s="15">
        <v>2000</v>
      </c>
      <c r="L41" s="26">
        <f>Table13456781011121314151617181920212223242526272830313233[[#This Row],[الدولار]]+(Table13456781011121314151617181920212223242526272830313233[[#This Row],[اللبناني]]/90)</f>
        <v>22.222222222222221</v>
      </c>
      <c r="M41" s="6"/>
    </row>
    <row r="42" spans="3:13" s="8" customFormat="1" x14ac:dyDescent="0.3">
      <c r="C42" s="6"/>
      <c r="D42" s="2"/>
      <c r="E42" s="2"/>
      <c r="F42" s="2"/>
      <c r="G42" s="2"/>
      <c r="H42" s="5" t="s">
        <v>145</v>
      </c>
      <c r="I42" s="23" t="s">
        <v>33</v>
      </c>
      <c r="J42" s="15">
        <v>-2000</v>
      </c>
      <c r="L42" s="26">
        <f>Table13456781011121314151617181920212223242526272830313233[[#This Row],[الدولار]]+(Table13456781011121314151617181920212223242526272830313233[[#This Row],[اللبناني]]/90)</f>
        <v>-22.222222222222221</v>
      </c>
      <c r="M42" s="6"/>
    </row>
    <row r="43" spans="3:13" s="8" customFormat="1" x14ac:dyDescent="0.3">
      <c r="C43" s="2"/>
      <c r="D43" s="2"/>
      <c r="E43" s="2"/>
      <c r="F43" s="2"/>
      <c r="G43" s="2"/>
      <c r="H43" s="5" t="s">
        <v>144</v>
      </c>
      <c r="I43" s="23" t="s">
        <v>315</v>
      </c>
      <c r="J43" s="15">
        <v>300</v>
      </c>
      <c r="L43" s="26">
        <f>Table13456781011121314151617181920212223242526272830313233[[#This Row],[الدولار]]+(Table13456781011121314151617181920212223242526272830313233[[#This Row],[اللبناني]]/90)</f>
        <v>3.3333333333333335</v>
      </c>
      <c r="M43" s="6"/>
    </row>
    <row r="44" spans="3:13" s="8" customFormat="1" x14ac:dyDescent="0.3">
      <c r="C44" s="2"/>
      <c r="D44" s="2"/>
      <c r="E44" s="2"/>
      <c r="F44" s="2"/>
      <c r="G44" s="2"/>
      <c r="H44" s="5" t="s">
        <v>144</v>
      </c>
      <c r="I44" s="23" t="s">
        <v>308</v>
      </c>
      <c r="J44" s="15">
        <v>670</v>
      </c>
      <c r="K44" s="8">
        <v>10</v>
      </c>
      <c r="L44" s="26">
        <f>Table13456781011121314151617181920212223242526272830313233[[#This Row],[الدولار]]+(Table13456781011121314151617181920212223242526272830313233[[#This Row],[اللبناني]]/90)</f>
        <v>17.444444444444443</v>
      </c>
      <c r="M44" s="6"/>
    </row>
    <row r="45" spans="3:13" s="8" customFormat="1" x14ac:dyDescent="0.3">
      <c r="C45" s="2"/>
      <c r="D45" s="2"/>
      <c r="E45" s="2"/>
      <c r="F45" s="2"/>
      <c r="G45" s="2"/>
      <c r="H45" s="5" t="s">
        <v>144</v>
      </c>
      <c r="I45" s="23" t="s">
        <v>316</v>
      </c>
      <c r="J45" s="15">
        <v>-400</v>
      </c>
      <c r="K45" s="8">
        <v>10</v>
      </c>
      <c r="L45" s="26">
        <f>Table13456781011121314151617181920212223242526272830313233[[#This Row],[الدولار]]+(Table13456781011121314151617181920212223242526272830313233[[#This Row],[اللبناني]]/90)</f>
        <v>5.5555555555555554</v>
      </c>
      <c r="M45" s="6"/>
    </row>
    <row r="46" spans="3:13" s="8" customFormat="1" x14ac:dyDescent="0.3">
      <c r="C46" s="2"/>
      <c r="D46" s="2"/>
      <c r="E46" s="2"/>
      <c r="F46" s="2"/>
      <c r="G46" s="2"/>
      <c r="H46" s="5" t="s">
        <v>144</v>
      </c>
      <c r="I46" s="23" t="s">
        <v>317</v>
      </c>
      <c r="J46" s="13"/>
      <c r="K46" s="8">
        <v>14</v>
      </c>
      <c r="L46" s="26">
        <f>Table13456781011121314151617181920212223242526272830313233[[#This Row],[الدولار]]+(Table13456781011121314151617181920212223242526272830313233[[#This Row],[اللبناني]]/90)</f>
        <v>14</v>
      </c>
      <c r="M46" s="6"/>
    </row>
    <row r="47" spans="3:13" s="8" customFormat="1" x14ac:dyDescent="0.3">
      <c r="C47" s="2"/>
      <c r="D47" s="2"/>
      <c r="E47" s="2"/>
      <c r="F47" s="2"/>
      <c r="G47" s="2"/>
      <c r="H47" s="5" t="s">
        <v>144</v>
      </c>
      <c r="I47" s="21" t="s">
        <v>318</v>
      </c>
      <c r="J47" s="13">
        <v>500</v>
      </c>
      <c r="L47" s="26">
        <f>Table13456781011121314151617181920212223242526272830313233[[#This Row],[الدولار]]+(Table13456781011121314151617181920212223242526272830313233[[#This Row],[اللبناني]]/90)</f>
        <v>5.5555555555555554</v>
      </c>
      <c r="M47" s="6"/>
    </row>
    <row r="48" spans="3:13" s="8" customFormat="1" x14ac:dyDescent="0.3">
      <c r="C48" s="2"/>
      <c r="D48" s="2"/>
      <c r="E48" s="2"/>
      <c r="F48" s="2"/>
      <c r="G48" s="2"/>
      <c r="H48" s="5" t="s">
        <v>145</v>
      </c>
      <c r="I48" s="21" t="s">
        <v>8</v>
      </c>
      <c r="J48" s="13"/>
      <c r="K48" s="8">
        <v>-20</v>
      </c>
      <c r="L48" s="26">
        <f>Table13456781011121314151617181920212223242526272830313233[[#This Row],[الدولار]]+(Table13456781011121314151617181920212223242526272830313233[[#This Row],[اللبناني]]/90)</f>
        <v>-20</v>
      </c>
      <c r="M48" s="6"/>
    </row>
    <row r="49" spans="3:19" s="8" customFormat="1" x14ac:dyDescent="0.3">
      <c r="C49" s="2"/>
      <c r="D49" s="2"/>
      <c r="E49" s="2"/>
      <c r="F49" s="2"/>
      <c r="G49" s="2"/>
      <c r="H49" s="5" t="s">
        <v>144</v>
      </c>
      <c r="I49" s="21" t="s">
        <v>319</v>
      </c>
      <c r="J49" s="13"/>
      <c r="K49" s="8">
        <v>-75</v>
      </c>
      <c r="L49" s="26">
        <f>Table13456781011121314151617181920212223242526272830313233[[#This Row],[الدولار]]+(Table13456781011121314151617181920212223242526272830313233[[#This Row],[اللبناني]]/90)</f>
        <v>-75</v>
      </c>
      <c r="M49" s="6"/>
      <c r="S49" s="45"/>
    </row>
    <row r="50" spans="3:19" s="8" customFormat="1" x14ac:dyDescent="0.3">
      <c r="C50" s="2"/>
      <c r="D50" s="2"/>
      <c r="E50" s="2"/>
      <c r="F50" s="2"/>
      <c r="G50" s="2"/>
      <c r="H50" s="5" t="s">
        <v>144</v>
      </c>
      <c r="I50" s="21" t="s">
        <v>320</v>
      </c>
      <c r="J50" s="13"/>
      <c r="K50" s="8">
        <v>18</v>
      </c>
      <c r="L50" s="26">
        <f>Table13456781011121314151617181920212223242526272830313233[[#This Row],[الدولار]]+(Table13456781011121314151617181920212223242526272830313233[[#This Row],[اللبناني]]/90)</f>
        <v>18</v>
      </c>
      <c r="M50" s="6"/>
    </row>
    <row r="51" spans="3:19" s="8" customFormat="1" x14ac:dyDescent="0.3">
      <c r="C51" s="2"/>
      <c r="D51" s="2"/>
      <c r="E51" s="2"/>
      <c r="F51" s="2"/>
      <c r="G51" s="2"/>
      <c r="H51" s="5" t="s">
        <v>144</v>
      </c>
      <c r="I51" s="21" t="s">
        <v>321</v>
      </c>
      <c r="J51" s="13"/>
      <c r="K51" s="8">
        <v>25</v>
      </c>
      <c r="L51" s="26">
        <f>Table13456781011121314151617181920212223242526272830313233[[#This Row],[الدولار]]+(Table13456781011121314151617181920212223242526272830313233[[#This Row],[اللبناني]]/90)</f>
        <v>25</v>
      </c>
      <c r="M51" s="6"/>
    </row>
    <row r="52" spans="3:19" s="8" customFormat="1" x14ac:dyDescent="0.3">
      <c r="H52" s="5" t="s">
        <v>144</v>
      </c>
      <c r="I52" s="21" t="s">
        <v>322</v>
      </c>
      <c r="J52" s="13">
        <v>-525</v>
      </c>
      <c r="K52" s="8">
        <v>10</v>
      </c>
      <c r="L52" s="26">
        <f>Table13456781011121314151617181920212223242526272830313233[[#This Row],[الدولار]]+(Table13456781011121314151617181920212223242526272830313233[[#This Row],[اللبناني]]/90)</f>
        <v>4.166666666666667</v>
      </c>
      <c r="M52" s="6"/>
    </row>
    <row r="53" spans="3:19" s="8" customFormat="1" x14ac:dyDescent="0.3">
      <c r="H53" s="5" t="s">
        <v>144</v>
      </c>
      <c r="I53" s="21" t="s">
        <v>68</v>
      </c>
      <c r="J53" s="13">
        <v>400</v>
      </c>
      <c r="L53" s="26">
        <f>Table13456781011121314151617181920212223242526272830313233[[#This Row],[الدولار]]+(Table13456781011121314151617181920212223242526272830313233[[#This Row],[اللبناني]]/90)</f>
        <v>4.4444444444444446</v>
      </c>
      <c r="M53" s="6"/>
    </row>
    <row r="54" spans="3:19" s="8" customFormat="1" x14ac:dyDescent="0.3">
      <c r="H54" s="5" t="s">
        <v>144</v>
      </c>
      <c r="I54" s="21" t="s">
        <v>323</v>
      </c>
      <c r="J54" s="13">
        <v>-350</v>
      </c>
      <c r="K54" s="8">
        <v>10</v>
      </c>
      <c r="L54" s="26">
        <f>Table13456781011121314151617181920212223242526272830313233[[#This Row],[الدولار]]+(Table13456781011121314151617181920212223242526272830313233[[#This Row],[اللبناني]]/90)</f>
        <v>6.1111111111111107</v>
      </c>
      <c r="M54" s="6"/>
    </row>
    <row r="55" spans="3:19" s="8" customFormat="1" x14ac:dyDescent="0.3">
      <c r="H55" s="5" t="s">
        <v>144</v>
      </c>
      <c r="I55" s="21" t="s">
        <v>77</v>
      </c>
      <c r="J55" s="13">
        <v>140</v>
      </c>
      <c r="K55" s="8">
        <v>20</v>
      </c>
      <c r="L55" s="26">
        <f>Table13456781011121314151617181920212223242526272830313233[[#This Row],[الدولار]]+(Table13456781011121314151617181920212223242526272830313233[[#This Row],[اللبناني]]/90)</f>
        <v>21.555555555555557</v>
      </c>
      <c r="M55" s="6"/>
    </row>
    <row r="56" spans="3:19" s="8" customFormat="1" x14ac:dyDescent="0.3">
      <c r="H56" s="5" t="s">
        <v>144</v>
      </c>
      <c r="I56" s="21" t="s">
        <v>324</v>
      </c>
      <c r="J56" s="13">
        <v>200</v>
      </c>
      <c r="K56" s="8">
        <v>6</v>
      </c>
      <c r="L56" s="26">
        <f>Table13456781011121314151617181920212223242526272830313233[[#This Row],[الدولار]]+(Table13456781011121314151617181920212223242526272830313233[[#This Row],[اللبناني]]/90)</f>
        <v>8.2222222222222214</v>
      </c>
      <c r="M56" s="6"/>
    </row>
    <row r="57" spans="3:19" s="8" customFormat="1" x14ac:dyDescent="0.3">
      <c r="H57" s="5" t="s">
        <v>144</v>
      </c>
      <c r="I57" s="21" t="s">
        <v>325</v>
      </c>
      <c r="J57" s="13">
        <v>-350</v>
      </c>
      <c r="L57" s="26">
        <f>Table13456781011121314151617181920212223242526272830313233[[#This Row],[الدولار]]+(Table13456781011121314151617181920212223242526272830313233[[#This Row],[اللبناني]]/90)</f>
        <v>-3.8888888888888888</v>
      </c>
      <c r="M57" s="6"/>
      <c r="P57" s="46"/>
      <c r="S57" s="45"/>
    </row>
    <row r="58" spans="3:19" s="8" customFormat="1" x14ac:dyDescent="0.3">
      <c r="H58" s="5" t="s">
        <v>144</v>
      </c>
      <c r="I58" s="21" t="s">
        <v>326</v>
      </c>
      <c r="J58" s="13"/>
      <c r="K58" s="8">
        <v>180</v>
      </c>
      <c r="L58" s="26">
        <f>Table13456781011121314151617181920212223242526272830313233[[#This Row],[الدولار]]+(Table13456781011121314151617181920212223242526272830313233[[#This Row],[اللبناني]]/90)</f>
        <v>180</v>
      </c>
      <c r="M58" s="6"/>
      <c r="P58" s="46"/>
      <c r="S58" s="45"/>
    </row>
    <row r="59" spans="3:19" s="8" customFormat="1" x14ac:dyDescent="0.3">
      <c r="H59" s="5" t="s">
        <v>144</v>
      </c>
      <c r="I59" s="21" t="s">
        <v>327</v>
      </c>
      <c r="J59" s="13"/>
      <c r="K59" s="8">
        <v>17</v>
      </c>
      <c r="L59" s="26">
        <f>Table13456781011121314151617181920212223242526272830313233[[#This Row],[الدولار]]+(Table13456781011121314151617181920212223242526272830313233[[#This Row],[اللبناني]]/90)</f>
        <v>17</v>
      </c>
      <c r="M59" s="6"/>
    </row>
    <row r="60" spans="3:19" s="8" customFormat="1" x14ac:dyDescent="0.3">
      <c r="H60" s="5" t="s">
        <v>144</v>
      </c>
      <c r="I60" s="21"/>
      <c r="J60" s="13"/>
      <c r="K60" s="8">
        <v>4</v>
      </c>
      <c r="L60" s="26">
        <f>Table13456781011121314151617181920212223242526272830313233[[#This Row],[الدولار]]+(Table13456781011121314151617181920212223242526272830313233[[#This Row],[اللبناني]]/90)</f>
        <v>4</v>
      </c>
      <c r="M60" s="6"/>
    </row>
    <row r="61" spans="3:19" s="8" customFormat="1" x14ac:dyDescent="0.3">
      <c r="H61" s="5" t="s">
        <v>144</v>
      </c>
      <c r="I61" s="21" t="s">
        <v>62</v>
      </c>
      <c r="J61" s="13">
        <v>-1340</v>
      </c>
      <c r="L61" s="26">
        <f>Table13456781011121314151617181920212223242526272830313233[[#This Row],[الدولار]]+(Table13456781011121314151617181920212223242526272830313233[[#This Row],[اللبناني]]/90)</f>
        <v>-14.888888888888889</v>
      </c>
      <c r="M61" s="6"/>
      <c r="N61" s="8" t="s">
        <v>57</v>
      </c>
      <c r="P61" s="9">
        <v>1790</v>
      </c>
      <c r="S61" s="14">
        <v>6535</v>
      </c>
    </row>
    <row r="62" spans="3:19" s="8" customFormat="1" x14ac:dyDescent="0.3">
      <c r="H62" s="5" t="s">
        <v>144</v>
      </c>
      <c r="I62" s="21" t="s">
        <v>348</v>
      </c>
      <c r="J62" s="13"/>
      <c r="K62" s="8">
        <v>183</v>
      </c>
      <c r="L62" s="26">
        <f>Table13456781011121314151617181920212223242526272830313233[[#This Row],[الدولار]]+(Table13456781011121314151617181920212223242526272830313233[[#This Row],[اللبناني]]/90)</f>
        <v>183</v>
      </c>
      <c r="M62" s="6"/>
    </row>
    <row r="63" spans="3:19" s="8" customFormat="1" x14ac:dyDescent="0.3">
      <c r="H63" s="5" t="s">
        <v>144</v>
      </c>
      <c r="I63" s="21" t="s">
        <v>349</v>
      </c>
      <c r="J63" s="13">
        <v>400</v>
      </c>
      <c r="L63" s="26">
        <f>Table13456781011121314151617181920212223242526272830313233[[#This Row],[الدولار]]+(Table13456781011121314151617181920212223242526272830313233[[#This Row],[اللبناني]]/90)</f>
        <v>4.4444444444444446</v>
      </c>
      <c r="M63" s="6"/>
      <c r="P63" s="46"/>
      <c r="S63" s="45"/>
    </row>
    <row r="64" spans="3:19" s="8" customFormat="1" x14ac:dyDescent="0.3">
      <c r="H64" s="5" t="s">
        <v>144</v>
      </c>
      <c r="I64" s="21" t="s">
        <v>330</v>
      </c>
      <c r="J64" s="13">
        <v>250</v>
      </c>
      <c r="L64" s="26">
        <f>Table13456781011121314151617181920212223242526272830313233[[#This Row],[الدولار]]+(Table13456781011121314151617181920212223242526272830313233[[#This Row],[اللبناني]]/90)</f>
        <v>2.7777777777777777</v>
      </c>
      <c r="M64" s="6"/>
      <c r="P64" s="46"/>
      <c r="S64" s="45"/>
    </row>
    <row r="65" spans="4:19" s="8" customFormat="1" x14ac:dyDescent="0.3">
      <c r="D65" s="36"/>
      <c r="H65" s="5" t="s">
        <v>144</v>
      </c>
      <c r="I65" s="21"/>
      <c r="J65" s="32">
        <v>80</v>
      </c>
      <c r="K65" s="33"/>
      <c r="L65" s="26">
        <f>Table13456781011121314151617181920212223242526272830313233[[#This Row],[الدولار]]+(Table13456781011121314151617181920212223242526272830313233[[#This Row],[اللبناني]]/90)</f>
        <v>0.88888888888888884</v>
      </c>
      <c r="M65" s="6"/>
      <c r="P65" s="46"/>
      <c r="S65" s="45"/>
    </row>
    <row r="66" spans="4:19" s="8" customFormat="1" x14ac:dyDescent="0.3">
      <c r="D66" s="36"/>
      <c r="H66" s="5" t="s">
        <v>144</v>
      </c>
      <c r="I66" s="21" t="s">
        <v>350</v>
      </c>
      <c r="J66" s="34">
        <v>100</v>
      </c>
      <c r="K66" s="35">
        <v>25</v>
      </c>
      <c r="L66" s="26">
        <f>Table13456781011121314151617181920212223242526272830313233[[#This Row],[الدولار]]+(Table13456781011121314151617181920212223242526272830313233[[#This Row],[اللبناني]]/90)</f>
        <v>26.111111111111111</v>
      </c>
      <c r="M66" s="6"/>
    </row>
    <row r="67" spans="4:19" s="8" customFormat="1" x14ac:dyDescent="0.3">
      <c r="D67" s="36"/>
      <c r="H67" s="5" t="s">
        <v>144</v>
      </c>
      <c r="I67" s="21" t="s">
        <v>351</v>
      </c>
      <c r="J67" s="32"/>
      <c r="K67" s="33">
        <v>10</v>
      </c>
      <c r="L67" s="26">
        <f>Table13456781011121314151617181920212223242526272830313233[[#This Row],[الدولار]]+(Table13456781011121314151617181920212223242526272830313233[[#This Row],[اللبناني]]/90)</f>
        <v>10</v>
      </c>
      <c r="M67" s="6"/>
    </row>
    <row r="68" spans="4:19" s="8" customFormat="1" x14ac:dyDescent="0.3">
      <c r="D68" s="36"/>
      <c r="H68" s="5" t="s">
        <v>144</v>
      </c>
      <c r="I68" s="21" t="s">
        <v>352</v>
      </c>
      <c r="J68" s="34">
        <v>225</v>
      </c>
      <c r="K68" s="35"/>
      <c r="L68" s="26">
        <f>Table13456781011121314151617181920212223242526272830313233[[#This Row],[الدولار]]+(Table13456781011121314151617181920212223242526272830313233[[#This Row],[اللبناني]]/90)</f>
        <v>2.5</v>
      </c>
      <c r="M68" s="6"/>
    </row>
    <row r="69" spans="4:19" s="8" customFormat="1" x14ac:dyDescent="0.3">
      <c r="D69" s="36"/>
      <c r="H69" s="5" t="s">
        <v>144</v>
      </c>
      <c r="I69" s="21" t="s">
        <v>29</v>
      </c>
      <c r="J69" s="32"/>
      <c r="K69" s="33">
        <v>18</v>
      </c>
      <c r="L69" s="26">
        <f>Table13456781011121314151617181920212223242526272830313233[[#This Row],[الدولار]]+(Table13456781011121314151617181920212223242526272830313233[[#This Row],[اللبناني]]/90)</f>
        <v>18</v>
      </c>
      <c r="M69" s="6"/>
    </row>
    <row r="70" spans="4:19" s="8" customFormat="1" x14ac:dyDescent="0.3">
      <c r="H70" s="5" t="s">
        <v>144</v>
      </c>
      <c r="I70" s="21" t="s">
        <v>353</v>
      </c>
      <c r="J70" s="13"/>
      <c r="K70" s="8">
        <v>1</v>
      </c>
      <c r="L70" s="26">
        <f>Table13456781011121314151617181920212223242526272830313233[[#This Row],[الدولار]]+(Table13456781011121314151617181920212223242526272830313233[[#This Row],[اللبناني]]/90)</f>
        <v>1</v>
      </c>
      <c r="M70" s="6"/>
    </row>
    <row r="71" spans="4:19" s="8" customFormat="1" x14ac:dyDescent="0.3">
      <c r="H71" s="5" t="s">
        <v>144</v>
      </c>
      <c r="I71" s="21" t="s">
        <v>139</v>
      </c>
      <c r="J71" s="13">
        <v>250</v>
      </c>
      <c r="L71" s="26">
        <f>Table13456781011121314151617181920212223242526272830313233[[#This Row],[الدولار]]+(Table13456781011121314151617181920212223242526272830313233[[#This Row],[اللبناني]]/90)</f>
        <v>2.7777777777777777</v>
      </c>
      <c r="M71" s="6"/>
    </row>
    <row r="72" spans="4:19" s="8" customFormat="1" x14ac:dyDescent="0.3">
      <c r="H72" s="5" t="s">
        <v>144</v>
      </c>
      <c r="I72" s="21" t="s">
        <v>30</v>
      </c>
      <c r="J72" s="13">
        <v>200</v>
      </c>
      <c r="K72" s="8">
        <v>5</v>
      </c>
      <c r="L72" s="26">
        <f>Table13456781011121314151617181920212223242526272830313233[[#This Row],[الدولار]]+(Table13456781011121314151617181920212223242526272830313233[[#This Row],[اللبناني]]/90)</f>
        <v>7.2222222222222223</v>
      </c>
      <c r="M72" s="6"/>
    </row>
    <row r="73" spans="4:19" s="8" customFormat="1" x14ac:dyDescent="0.3">
      <c r="H73" s="5" t="s">
        <v>144</v>
      </c>
      <c r="I73" s="21" t="s">
        <v>347</v>
      </c>
      <c r="J73" s="13">
        <v>100</v>
      </c>
      <c r="K73" s="8">
        <v>27</v>
      </c>
      <c r="L73" s="26">
        <f>Table13456781011121314151617181920212223242526272830313233[[#This Row],[الدولار]]+(Table13456781011121314151617181920212223242526272830313233[[#This Row],[اللبناني]]/90)</f>
        <v>28.111111111111111</v>
      </c>
      <c r="M73" s="6"/>
    </row>
    <row r="74" spans="4:19" s="8" customFormat="1" x14ac:dyDescent="0.3">
      <c r="H74" s="5" t="s">
        <v>144</v>
      </c>
      <c r="I74" s="21" t="s">
        <v>346</v>
      </c>
      <c r="J74" s="13">
        <v>50</v>
      </c>
      <c r="L74" s="26">
        <f>Table13456781011121314151617181920212223242526272830313233[[#This Row],[الدولار]]+(Table13456781011121314151617181920212223242526272830313233[[#This Row],[اللبناني]]/90)</f>
        <v>0.55555555555555558</v>
      </c>
      <c r="M74" s="6"/>
    </row>
    <row r="75" spans="4:19" s="8" customFormat="1" x14ac:dyDescent="0.3">
      <c r="H75" s="5" t="s">
        <v>144</v>
      </c>
      <c r="I75" s="21" t="s">
        <v>345</v>
      </c>
      <c r="J75" s="13"/>
      <c r="K75" s="8">
        <v>2</v>
      </c>
      <c r="L75" s="26">
        <f>Table13456781011121314151617181920212223242526272830313233[[#This Row],[الدولار]]+(Table13456781011121314151617181920212223242526272830313233[[#This Row],[اللبناني]]/90)</f>
        <v>2</v>
      </c>
      <c r="M75" s="6"/>
    </row>
    <row r="76" spans="4:19" s="8" customFormat="1" x14ac:dyDescent="0.3">
      <c r="H76" s="5" t="s">
        <v>144</v>
      </c>
      <c r="I76" s="21" t="s">
        <v>308</v>
      </c>
      <c r="J76" s="13">
        <v>130</v>
      </c>
      <c r="K76" s="8">
        <v>5</v>
      </c>
      <c r="L76" s="26">
        <f>Table13456781011121314151617181920212223242526272830313233[[#This Row],[الدولار]]+(Table13456781011121314151617181920212223242526272830313233[[#This Row],[اللبناني]]/90)</f>
        <v>6.4444444444444446</v>
      </c>
      <c r="M76" s="6"/>
    </row>
    <row r="77" spans="4:19" s="8" customFormat="1" x14ac:dyDescent="0.3">
      <c r="H77" s="5" t="s">
        <v>144</v>
      </c>
      <c r="I77" s="21" t="s">
        <v>308</v>
      </c>
      <c r="J77" s="13">
        <v>-150</v>
      </c>
      <c r="L77" s="26">
        <f>Table13456781011121314151617181920212223242526272830313233[[#This Row],[الدولار]]+(Table13456781011121314151617181920212223242526272830313233[[#This Row],[اللبناني]]/90)</f>
        <v>-1.6666666666666667</v>
      </c>
      <c r="M77" s="6"/>
    </row>
    <row r="78" spans="4:19" s="8" customFormat="1" x14ac:dyDescent="0.3">
      <c r="H78" s="5" t="s">
        <v>144</v>
      </c>
      <c r="I78" s="21" t="s">
        <v>344</v>
      </c>
      <c r="J78" s="13"/>
      <c r="K78" s="8">
        <v>9</v>
      </c>
      <c r="L78" s="26">
        <f>Table13456781011121314151617181920212223242526272830313233[[#This Row],[الدولار]]+(Table13456781011121314151617181920212223242526272830313233[[#This Row],[اللبناني]]/90)</f>
        <v>9</v>
      </c>
      <c r="M78" s="6"/>
    </row>
    <row r="79" spans="4:19" s="8" customFormat="1" x14ac:dyDescent="0.3">
      <c r="H79" s="5" t="s">
        <v>144</v>
      </c>
      <c r="I79" s="21" t="s">
        <v>236</v>
      </c>
      <c r="J79" s="13"/>
      <c r="K79" s="8">
        <v>200</v>
      </c>
      <c r="L79" s="26">
        <f>Table13456781011121314151617181920212223242526272830313233[[#This Row],[الدولار]]+(Table13456781011121314151617181920212223242526272830313233[[#This Row],[اللبناني]]/90)</f>
        <v>200</v>
      </c>
      <c r="M79" s="6"/>
    </row>
    <row r="80" spans="4:19" s="8" customFormat="1" x14ac:dyDescent="0.3">
      <c r="H80" s="5" t="s">
        <v>144</v>
      </c>
      <c r="I80" s="21" t="s">
        <v>343</v>
      </c>
      <c r="J80" s="13">
        <v>-200</v>
      </c>
      <c r="K80" s="8">
        <v>5</v>
      </c>
      <c r="L80" s="26">
        <f>Table13456781011121314151617181920212223242526272830313233[[#This Row],[الدولار]]+(Table13456781011121314151617181920212223242526272830313233[[#This Row],[اللبناني]]/90)</f>
        <v>2.7777777777777777</v>
      </c>
      <c r="M80" s="6"/>
    </row>
    <row r="81" spans="8:19" s="8" customFormat="1" x14ac:dyDescent="0.3">
      <c r="H81" s="5" t="s">
        <v>144</v>
      </c>
      <c r="I81" s="21" t="s">
        <v>343</v>
      </c>
      <c r="J81" s="13">
        <v>-120</v>
      </c>
      <c r="K81" s="8">
        <v>35</v>
      </c>
      <c r="L81" s="26">
        <f>Table13456781011121314151617181920212223242526272830313233[[#This Row],[الدولار]]+(Table13456781011121314151617181920212223242526272830313233[[#This Row],[اللبناني]]/90)</f>
        <v>33.666666666666664</v>
      </c>
      <c r="M81" s="6"/>
      <c r="S81" s="15"/>
    </row>
    <row r="82" spans="8:19" s="8" customFormat="1" x14ac:dyDescent="0.3">
      <c r="H82" s="5" t="s">
        <v>144</v>
      </c>
      <c r="I82" s="21" t="s">
        <v>343</v>
      </c>
      <c r="J82" s="13"/>
      <c r="K82" s="8">
        <v>-20</v>
      </c>
      <c r="L82" s="26">
        <f>Table13456781011121314151617181920212223242526272830313233[[#This Row],[الدولار]]+(Table13456781011121314151617181920212223242526272830313233[[#This Row],[اللبناني]]/90)</f>
        <v>-20</v>
      </c>
      <c r="M82" s="6"/>
    </row>
    <row r="83" spans="8:19" s="8" customFormat="1" x14ac:dyDescent="0.3">
      <c r="H83" s="5" t="s">
        <v>144</v>
      </c>
      <c r="I83" s="21"/>
      <c r="J83" s="13">
        <v>220</v>
      </c>
      <c r="L83" s="26">
        <f>Table13456781011121314151617181920212223242526272830313233[[#This Row],[الدولار]]+(Table13456781011121314151617181920212223242526272830313233[[#This Row],[اللبناني]]/90)</f>
        <v>2.4444444444444446</v>
      </c>
      <c r="M83" s="6"/>
    </row>
    <row r="84" spans="8:19" s="8" customFormat="1" x14ac:dyDescent="0.3">
      <c r="H84" s="5" t="s">
        <v>144</v>
      </c>
      <c r="I84" s="21"/>
      <c r="J84" s="13">
        <v>50</v>
      </c>
      <c r="L84" s="26">
        <f>Table13456781011121314151617181920212223242526272830313233[[#This Row],[الدولار]]+(Table13456781011121314151617181920212223242526272830313233[[#This Row],[اللبناني]]/90)</f>
        <v>0.55555555555555558</v>
      </c>
      <c r="M84" s="6"/>
    </row>
    <row r="85" spans="8:19" s="8" customFormat="1" x14ac:dyDescent="0.3">
      <c r="H85" s="5" t="s">
        <v>144</v>
      </c>
      <c r="I85" s="21" t="s">
        <v>342</v>
      </c>
      <c r="J85" s="13"/>
      <c r="K85" s="8">
        <v>30</v>
      </c>
      <c r="L85" s="26">
        <f>Table13456781011121314151617181920212223242526272830313233[[#This Row],[الدولار]]+(Table13456781011121314151617181920212223242526272830313233[[#This Row],[اللبناني]]/90)</f>
        <v>30</v>
      </c>
      <c r="M85" s="6"/>
    </row>
    <row r="86" spans="8:19" s="8" customFormat="1" x14ac:dyDescent="0.3">
      <c r="H86" s="5" t="s">
        <v>144</v>
      </c>
      <c r="I86" s="21" t="s">
        <v>306</v>
      </c>
      <c r="J86" s="13"/>
      <c r="K86" s="8">
        <v>100</v>
      </c>
      <c r="L86" s="26">
        <f>Table13456781011121314151617181920212223242526272830313233[[#This Row],[الدولار]]+(Table13456781011121314151617181920212223242526272830313233[[#This Row],[اللبناني]]/90)</f>
        <v>100</v>
      </c>
      <c r="M86" s="6"/>
    </row>
    <row r="87" spans="8:19" s="8" customFormat="1" x14ac:dyDescent="0.3">
      <c r="H87" s="5" t="s">
        <v>145</v>
      </c>
      <c r="I87" s="21" t="s">
        <v>341</v>
      </c>
      <c r="J87" s="13">
        <v>-70</v>
      </c>
      <c r="L87" s="26">
        <f>Table13456781011121314151617181920212223242526272830313233[[#This Row],[الدولار]]+(Table13456781011121314151617181920212223242526272830313233[[#This Row],[اللبناني]]/90)</f>
        <v>-0.77777777777777779</v>
      </c>
      <c r="M87" s="6"/>
    </row>
    <row r="88" spans="8:19" s="8" customFormat="1" x14ac:dyDescent="0.3">
      <c r="H88" s="5" t="s">
        <v>144</v>
      </c>
      <c r="I88" s="21" t="s">
        <v>54</v>
      </c>
      <c r="J88" s="13">
        <v>70</v>
      </c>
      <c r="L88" s="26">
        <f>Table13456781011121314151617181920212223242526272830313233[[#This Row],[الدولار]]+(Table13456781011121314151617181920212223242526272830313233[[#This Row],[اللبناني]]/90)</f>
        <v>0.77777777777777779</v>
      </c>
      <c r="M88" s="6"/>
    </row>
    <row r="89" spans="8:19" s="8" customFormat="1" x14ac:dyDescent="0.3">
      <c r="H89" s="5" t="s">
        <v>144</v>
      </c>
      <c r="I89" s="21" t="s">
        <v>340</v>
      </c>
      <c r="J89" s="13">
        <v>100</v>
      </c>
      <c r="L89" s="26">
        <f>Table13456781011121314151617181920212223242526272830313233[[#This Row],[الدولار]]+(Table13456781011121314151617181920212223242526272830313233[[#This Row],[اللبناني]]/90)</f>
        <v>1.1111111111111112</v>
      </c>
      <c r="M89" s="6"/>
    </row>
    <row r="90" spans="8:19" s="8" customFormat="1" x14ac:dyDescent="0.3">
      <c r="H90" s="5" t="s">
        <v>144</v>
      </c>
      <c r="I90" s="21" t="s">
        <v>339</v>
      </c>
      <c r="J90" s="13"/>
      <c r="K90" s="8">
        <v>200</v>
      </c>
      <c r="L90" s="26">
        <f>Table13456781011121314151617181920212223242526272830313233[[#This Row],[الدولار]]+(Table13456781011121314151617181920212223242526272830313233[[#This Row],[اللبناني]]/90)</f>
        <v>200</v>
      </c>
      <c r="M90" s="6"/>
    </row>
    <row r="91" spans="8:19" s="8" customFormat="1" x14ac:dyDescent="0.3">
      <c r="H91" s="5" t="s">
        <v>144</v>
      </c>
      <c r="I91" s="21" t="s">
        <v>338</v>
      </c>
      <c r="J91" s="13">
        <v>-240</v>
      </c>
      <c r="K91" s="8">
        <v>10</v>
      </c>
      <c r="L91" s="26">
        <f>Table13456781011121314151617181920212223242526272830313233[[#This Row],[الدولار]]+(Table13456781011121314151617181920212223242526272830313233[[#This Row],[اللبناني]]/90)</f>
        <v>7.3333333333333339</v>
      </c>
      <c r="M91" s="6"/>
    </row>
    <row r="92" spans="8:19" s="8" customFormat="1" x14ac:dyDescent="0.3">
      <c r="H92" s="5" t="s">
        <v>144</v>
      </c>
      <c r="I92" s="21"/>
      <c r="J92" s="13"/>
      <c r="K92" s="8">
        <v>10</v>
      </c>
      <c r="L92" s="26">
        <f>Table13456781011121314151617181920212223242526272830313233[[#This Row],[الدولار]]+(Table13456781011121314151617181920212223242526272830313233[[#This Row],[اللبناني]]/90)</f>
        <v>10</v>
      </c>
      <c r="M92" s="6"/>
    </row>
    <row r="93" spans="8:19" s="8" customFormat="1" x14ac:dyDescent="0.3">
      <c r="H93" s="5" t="s">
        <v>144</v>
      </c>
      <c r="I93" s="21" t="s">
        <v>295</v>
      </c>
      <c r="J93" s="13">
        <v>-200</v>
      </c>
      <c r="K93" s="8">
        <v>30</v>
      </c>
      <c r="L93" s="26">
        <f>Table13456781011121314151617181920212223242526272830313233[[#This Row],[الدولار]]+(Table13456781011121314151617181920212223242526272830313233[[#This Row],[اللبناني]]/90)</f>
        <v>27.777777777777779</v>
      </c>
      <c r="M93" s="6"/>
    </row>
    <row r="94" spans="8:19" s="8" customFormat="1" x14ac:dyDescent="0.3">
      <c r="H94" s="5" t="s">
        <v>144</v>
      </c>
      <c r="I94" s="21"/>
      <c r="J94" s="13"/>
      <c r="K94" s="8">
        <v>9</v>
      </c>
      <c r="L94" s="26">
        <f>Table13456781011121314151617181920212223242526272830313233[[#This Row],[الدولار]]+(Table13456781011121314151617181920212223242526272830313233[[#This Row],[اللبناني]]/90)</f>
        <v>9</v>
      </c>
      <c r="M94" s="6"/>
    </row>
    <row r="95" spans="8:19" s="8" customFormat="1" x14ac:dyDescent="0.3">
      <c r="H95" s="5" t="s">
        <v>144</v>
      </c>
      <c r="I95" s="21"/>
      <c r="J95" s="13">
        <v>80</v>
      </c>
      <c r="L95" s="26">
        <f>Table13456781011121314151617181920212223242526272830313233[[#This Row],[الدولار]]+(Table13456781011121314151617181920212223242526272830313233[[#This Row],[اللبناني]]/90)</f>
        <v>0.88888888888888884</v>
      </c>
      <c r="M95" s="6"/>
    </row>
    <row r="96" spans="8:19" s="8" customFormat="1" x14ac:dyDescent="0.3">
      <c r="H96" s="5" t="s">
        <v>144</v>
      </c>
      <c r="I96" s="21" t="s">
        <v>156</v>
      </c>
      <c r="J96" s="13">
        <v>240</v>
      </c>
      <c r="L96" s="26">
        <f>Table13456781011121314151617181920212223242526272830313233[[#This Row],[الدولار]]+(Table13456781011121314151617181920212223242526272830313233[[#This Row],[اللبناني]]/90)</f>
        <v>2.6666666666666665</v>
      </c>
      <c r="M96" s="6"/>
    </row>
    <row r="97" spans="8:13" s="8" customFormat="1" x14ac:dyDescent="0.3">
      <c r="H97" s="5" t="s">
        <v>144</v>
      </c>
      <c r="I97" s="21"/>
      <c r="J97" s="13">
        <v>200</v>
      </c>
      <c r="L97" s="26">
        <f>Table13456781011121314151617181920212223242526272830313233[[#This Row],[الدولار]]+(Table13456781011121314151617181920212223242526272830313233[[#This Row],[اللبناني]]/90)</f>
        <v>2.2222222222222223</v>
      </c>
      <c r="M97" s="6"/>
    </row>
    <row r="98" spans="8:13" s="8" customFormat="1" x14ac:dyDescent="0.3">
      <c r="H98" s="5" t="s">
        <v>144</v>
      </c>
      <c r="I98" s="21" t="s">
        <v>77</v>
      </c>
      <c r="J98" s="13">
        <v>400</v>
      </c>
      <c r="K98" s="8">
        <v>10</v>
      </c>
      <c r="L98" s="26">
        <f>Table13456781011121314151617181920212223242526272830313233[[#This Row],[الدولار]]+(Table13456781011121314151617181920212223242526272830313233[[#This Row],[اللبناني]]/90)</f>
        <v>14.444444444444445</v>
      </c>
      <c r="M98" s="6"/>
    </row>
    <row r="99" spans="8:13" s="8" customFormat="1" x14ac:dyDescent="0.3">
      <c r="H99" s="5" t="s">
        <v>144</v>
      </c>
      <c r="I99" s="21"/>
      <c r="J99" s="13">
        <v>400</v>
      </c>
      <c r="L99" s="26">
        <f>Table13456781011121314151617181920212223242526272830313233[[#This Row],[الدولار]]+(Table13456781011121314151617181920212223242526272830313233[[#This Row],[اللبناني]]/90)</f>
        <v>4.4444444444444446</v>
      </c>
      <c r="M99" s="6"/>
    </row>
    <row r="100" spans="8:13" s="8" customFormat="1" x14ac:dyDescent="0.3">
      <c r="H100" s="5" t="s">
        <v>144</v>
      </c>
      <c r="I100" s="21" t="s">
        <v>337</v>
      </c>
      <c r="J100" s="13">
        <v>20</v>
      </c>
      <c r="L100" s="26">
        <f>Table13456781011121314151617181920212223242526272830313233[[#This Row],[الدولار]]+(Table13456781011121314151617181920212223242526272830313233[[#This Row],[اللبناني]]/90)</f>
        <v>0.22222222222222221</v>
      </c>
      <c r="M100" s="6"/>
    </row>
    <row r="101" spans="8:13" s="8" customFormat="1" x14ac:dyDescent="0.3">
      <c r="H101" s="5" t="s">
        <v>146</v>
      </c>
      <c r="I101" s="21" t="s">
        <v>12</v>
      </c>
      <c r="J101" s="13">
        <v>-6000</v>
      </c>
      <c r="K101" s="8">
        <v>-1600</v>
      </c>
      <c r="L101" s="26">
        <f>Table13456781011121314151617181920212223242526272830313233[[#This Row],[الدولار]]+(Table13456781011121314151617181920212223242526272830313233[[#This Row],[اللبناني]]/90)</f>
        <v>-1666.6666666666667</v>
      </c>
      <c r="M101" s="6"/>
    </row>
    <row r="102" spans="8:13" s="8" customFormat="1" x14ac:dyDescent="0.3">
      <c r="H102" s="5" t="s">
        <v>144</v>
      </c>
      <c r="I102" s="21" t="s">
        <v>335</v>
      </c>
      <c r="J102" s="13"/>
      <c r="K102" s="8">
        <v>7</v>
      </c>
      <c r="L102" s="26">
        <f>Table13456781011121314151617181920212223242526272830313233[[#This Row],[الدولار]]+(Table13456781011121314151617181920212223242526272830313233[[#This Row],[اللبناني]]/90)</f>
        <v>7</v>
      </c>
      <c r="M102" s="6"/>
    </row>
    <row r="103" spans="8:13" s="8" customFormat="1" x14ac:dyDescent="0.3">
      <c r="H103" s="5" t="s">
        <v>144</v>
      </c>
      <c r="I103" s="21" t="s">
        <v>336</v>
      </c>
      <c r="J103" s="13">
        <v>200</v>
      </c>
      <c r="K103" s="8">
        <v>15</v>
      </c>
      <c r="L103" s="26">
        <f>Table13456781011121314151617181920212223242526272830313233[[#This Row],[الدولار]]+(Table13456781011121314151617181920212223242526272830313233[[#This Row],[اللبناني]]/90)</f>
        <v>17.222222222222221</v>
      </c>
      <c r="M103" s="6"/>
    </row>
    <row r="104" spans="8:13" s="8" customFormat="1" x14ac:dyDescent="0.3">
      <c r="H104" s="5" t="s">
        <v>144</v>
      </c>
      <c r="I104" s="21" t="s">
        <v>62</v>
      </c>
      <c r="J104" s="13">
        <v>1850</v>
      </c>
      <c r="L104" s="26">
        <f>Table13456781011121314151617181920212223242526272830313233[[#This Row],[الدولار]]+(Table13456781011121314151617181920212223242526272830313233[[#This Row],[اللبناني]]/90)</f>
        <v>20.555555555555557</v>
      </c>
      <c r="M104" s="6"/>
    </row>
    <row r="105" spans="8:13" s="8" customFormat="1" x14ac:dyDescent="0.3">
      <c r="H105" s="5" t="s">
        <v>144</v>
      </c>
      <c r="I105" s="21"/>
      <c r="J105" s="13"/>
      <c r="L105" s="26">
        <f>Table13456781011121314151617181920212223242526272830313233[[#This Row],[الدولار]]+(Table13456781011121314151617181920212223242526272830313233[[#This Row],[اللبناني]]/90)</f>
        <v>0</v>
      </c>
      <c r="M105" s="6"/>
    </row>
    <row r="106" spans="8:13" s="8" customFormat="1" x14ac:dyDescent="0.3">
      <c r="H106" s="5" t="s">
        <v>144</v>
      </c>
      <c r="I106" s="21"/>
      <c r="J106" s="13"/>
      <c r="L106" s="26">
        <f>Table13456781011121314151617181920212223242526272830313233[[#This Row],[الدولار]]+(Table13456781011121314151617181920212223242526272830313233[[#This Row],[اللبناني]]/90)</f>
        <v>0</v>
      </c>
      <c r="M106" s="6"/>
    </row>
    <row r="107" spans="8:13" s="8" customFormat="1" x14ac:dyDescent="0.3">
      <c r="H107" s="5" t="s">
        <v>144</v>
      </c>
      <c r="I107" s="21"/>
      <c r="J107" s="13"/>
      <c r="L107" s="26">
        <f>Table13456781011121314151617181920212223242526272830313233[[#This Row],[الدولار]]+(Table13456781011121314151617181920212223242526272830313233[[#This Row],[اللبناني]]/90)</f>
        <v>0</v>
      </c>
      <c r="M107" s="6"/>
    </row>
    <row r="108" spans="8:13" s="8" customFormat="1" x14ac:dyDescent="0.3">
      <c r="H108" s="5" t="s">
        <v>144</v>
      </c>
      <c r="I108" s="21"/>
      <c r="J108" s="13"/>
      <c r="L108" s="26">
        <f>Table13456781011121314151617181920212223242526272830313233[[#This Row],[الدولار]]+(Table13456781011121314151617181920212223242526272830313233[[#This Row],[اللبناني]]/90)</f>
        <v>0</v>
      </c>
      <c r="M108" s="6"/>
    </row>
    <row r="109" spans="8:13" s="8" customFormat="1" x14ac:dyDescent="0.3">
      <c r="H109" s="5" t="s">
        <v>144</v>
      </c>
      <c r="I109" s="21"/>
      <c r="J109" s="13"/>
      <c r="L109" s="26">
        <f>Table13456781011121314151617181920212223242526272830313233[[#This Row],[الدولار]]+(Table13456781011121314151617181920212223242526272830313233[[#This Row],[اللبناني]]/90)</f>
        <v>0</v>
      </c>
      <c r="M109" s="6"/>
    </row>
    <row r="110" spans="8:13" s="8" customFormat="1" x14ac:dyDescent="0.3">
      <c r="H110" s="5" t="s">
        <v>144</v>
      </c>
      <c r="I110" s="21"/>
      <c r="J110" s="13"/>
      <c r="L110" s="26">
        <f>Table13456781011121314151617181920212223242526272830313233[[#This Row],[الدولار]]+(Table13456781011121314151617181920212223242526272830313233[[#This Row],[اللبناني]]/90)</f>
        <v>0</v>
      </c>
      <c r="M110" s="6"/>
    </row>
    <row r="111" spans="8:13" s="8" customFormat="1" x14ac:dyDescent="0.3">
      <c r="H111" s="5" t="s">
        <v>144</v>
      </c>
      <c r="I111" s="21"/>
      <c r="J111" s="13"/>
      <c r="L111" s="26">
        <f>Table13456781011121314151617181920212223242526272830313233[[#This Row],[الدولار]]+(Table13456781011121314151617181920212223242526272830313233[[#This Row],[اللبناني]]/90)</f>
        <v>0</v>
      </c>
      <c r="M111" s="6"/>
    </row>
    <row r="112" spans="8:13" s="8" customFormat="1" x14ac:dyDescent="0.3">
      <c r="H112" s="5" t="s">
        <v>144</v>
      </c>
      <c r="I112" s="21"/>
      <c r="J112" s="13"/>
      <c r="L112" s="26">
        <f>Table13456781011121314151617181920212223242526272830313233[[#This Row],[الدولار]]+(Table13456781011121314151617181920212223242526272830313233[[#This Row],[اللبناني]]/90)</f>
        <v>0</v>
      </c>
      <c r="M112" s="6"/>
    </row>
    <row r="113" spans="8:13" s="8" customFormat="1" x14ac:dyDescent="0.3">
      <c r="H113" s="5" t="s">
        <v>144</v>
      </c>
      <c r="I113" s="21"/>
      <c r="J113" s="13"/>
      <c r="L113" s="26">
        <f>Table13456781011121314151617181920212223242526272830313233[[#This Row],[الدولار]]+(Table13456781011121314151617181920212223242526272830313233[[#This Row],[اللبناني]]/90)</f>
        <v>0</v>
      </c>
      <c r="M113" s="6"/>
    </row>
    <row r="114" spans="8:13" s="8" customFormat="1" x14ac:dyDescent="0.3">
      <c r="H114" s="5" t="s">
        <v>144</v>
      </c>
      <c r="I114" s="21"/>
      <c r="J114" s="13"/>
      <c r="L114" s="26">
        <f>Table13456781011121314151617181920212223242526272830313233[[#This Row],[الدولار]]+(Table13456781011121314151617181920212223242526272830313233[[#This Row],[اللبناني]]/90)</f>
        <v>0</v>
      </c>
      <c r="M114" s="6"/>
    </row>
    <row r="115" spans="8:13" s="8" customFormat="1" x14ac:dyDescent="0.3">
      <c r="H115" s="5" t="s">
        <v>144</v>
      </c>
      <c r="I115" s="21"/>
      <c r="J115" s="13"/>
      <c r="L115" s="26">
        <f>Table13456781011121314151617181920212223242526272830313233[[#This Row],[الدولار]]+(Table13456781011121314151617181920212223242526272830313233[[#This Row],[اللبناني]]/90)</f>
        <v>0</v>
      </c>
      <c r="M115" s="6"/>
    </row>
    <row r="116" spans="8:13" s="8" customFormat="1" x14ac:dyDescent="0.3">
      <c r="H116" s="5" t="s">
        <v>144</v>
      </c>
      <c r="I116" s="21"/>
      <c r="J116" s="13"/>
      <c r="L116" s="26">
        <f>Table13456781011121314151617181920212223242526272830313233[[#This Row],[الدولار]]+(Table13456781011121314151617181920212223242526272830313233[[#This Row],[اللبناني]]/90)</f>
        <v>0</v>
      </c>
      <c r="M116" s="6"/>
    </row>
    <row r="117" spans="8:13" s="8" customFormat="1" x14ac:dyDescent="0.3">
      <c r="H117" s="5" t="s">
        <v>144</v>
      </c>
      <c r="I117" s="21"/>
      <c r="J117" s="13"/>
      <c r="L117" s="26">
        <f>Table13456781011121314151617181920212223242526272830313233[[#This Row],[الدولار]]+(Table13456781011121314151617181920212223242526272830313233[[#This Row],[اللبناني]]/90)</f>
        <v>0</v>
      </c>
      <c r="M117" s="6"/>
    </row>
    <row r="118" spans="8:13" s="8" customFormat="1" x14ac:dyDescent="0.3">
      <c r="H118" s="5" t="s">
        <v>144</v>
      </c>
      <c r="I118" s="21"/>
      <c r="J118" s="13"/>
      <c r="L118" s="26">
        <f>Table13456781011121314151617181920212223242526272830313233[[#This Row],[الدولار]]+(Table13456781011121314151617181920212223242526272830313233[[#This Row],[اللبناني]]/90)</f>
        <v>0</v>
      </c>
      <c r="M118" s="6"/>
    </row>
    <row r="119" spans="8:13" s="8" customFormat="1" x14ac:dyDescent="0.3">
      <c r="H119" s="5" t="s">
        <v>144</v>
      </c>
      <c r="I119" s="21"/>
      <c r="J119" s="13"/>
      <c r="L119" s="26">
        <f>Table13456781011121314151617181920212223242526272830313233[[#This Row],[الدولار]]+(Table13456781011121314151617181920212223242526272830313233[[#This Row],[اللبناني]]/90)</f>
        <v>0</v>
      </c>
      <c r="M119" s="6"/>
    </row>
    <row r="120" spans="8:13" s="8" customFormat="1" x14ac:dyDescent="0.3">
      <c r="H120" s="5" t="s">
        <v>144</v>
      </c>
      <c r="I120" s="21"/>
      <c r="J120" s="13"/>
      <c r="L120" s="26">
        <f>Table13456781011121314151617181920212223242526272830313233[[#This Row],[الدولار]]+(Table13456781011121314151617181920212223242526272830313233[[#This Row],[اللبناني]]/90)</f>
        <v>0</v>
      </c>
      <c r="M120" s="6"/>
    </row>
    <row r="121" spans="8:13" s="8" customFormat="1" x14ac:dyDescent="0.3">
      <c r="H121" s="5" t="s">
        <v>144</v>
      </c>
      <c r="I121" s="21"/>
      <c r="J121" s="13"/>
      <c r="L121" s="26">
        <f>Table13456781011121314151617181920212223242526272830313233[[#This Row],[الدولار]]+(Table13456781011121314151617181920212223242526272830313233[[#This Row],[اللبناني]]/90)</f>
        <v>0</v>
      </c>
      <c r="M121" s="6"/>
    </row>
    <row r="122" spans="8:13" s="8" customFormat="1" x14ac:dyDescent="0.3">
      <c r="H122" s="5" t="s">
        <v>144</v>
      </c>
      <c r="I122" s="21"/>
      <c r="J122" s="13"/>
      <c r="L122" s="26">
        <f>Table13456781011121314151617181920212223242526272830313233[[#This Row],[الدولار]]+(Table13456781011121314151617181920212223242526272830313233[[#This Row],[اللبناني]]/90)</f>
        <v>0</v>
      </c>
      <c r="M122" s="6"/>
    </row>
    <row r="123" spans="8:13" s="8" customFormat="1" x14ac:dyDescent="0.3">
      <c r="H123" s="5" t="s">
        <v>144</v>
      </c>
      <c r="I123" s="21"/>
      <c r="J123" s="13"/>
      <c r="L123" s="26">
        <f>Table13456781011121314151617181920212223242526272830313233[[#This Row],[الدولار]]+(Table13456781011121314151617181920212223242526272830313233[[#This Row],[اللبناني]]/90)</f>
        <v>0</v>
      </c>
      <c r="M123" s="6"/>
    </row>
    <row r="124" spans="8:13" s="8" customFormat="1" x14ac:dyDescent="0.3">
      <c r="H124" s="5" t="s">
        <v>144</v>
      </c>
      <c r="I124" s="21"/>
      <c r="J124" s="13"/>
      <c r="L124" s="26">
        <f>Table13456781011121314151617181920212223242526272830313233[[#This Row],[الدولار]]+(Table13456781011121314151617181920212223242526272830313233[[#This Row],[اللبناني]]/90)</f>
        <v>0</v>
      </c>
      <c r="M124" s="6"/>
    </row>
    <row r="125" spans="8:13" s="8" customFormat="1" x14ac:dyDescent="0.3">
      <c r="H125" s="5" t="s">
        <v>144</v>
      </c>
      <c r="I125" s="21"/>
      <c r="J125" s="13"/>
      <c r="L125" s="26">
        <f>Table13456781011121314151617181920212223242526272830313233[[#This Row],[الدولار]]+(Table13456781011121314151617181920212223242526272830313233[[#This Row],[اللبناني]]/90)</f>
        <v>0</v>
      </c>
      <c r="M125" s="6"/>
    </row>
    <row r="126" spans="8:13" s="8" customFormat="1" x14ac:dyDescent="0.3">
      <c r="H126" s="5" t="s">
        <v>144</v>
      </c>
      <c r="I126" s="21"/>
      <c r="J126" s="13"/>
      <c r="L126" s="26">
        <f>Table13456781011121314151617181920212223242526272830313233[[#This Row],[الدولار]]+(Table13456781011121314151617181920212223242526272830313233[[#This Row],[اللبناني]]/90)</f>
        <v>0</v>
      </c>
      <c r="M126" s="6"/>
    </row>
    <row r="127" spans="8:13" s="8" customFormat="1" x14ac:dyDescent="0.3">
      <c r="H127" s="5" t="s">
        <v>144</v>
      </c>
      <c r="I127" s="21"/>
      <c r="J127" s="13"/>
      <c r="L127" s="26">
        <f>Table13456781011121314151617181920212223242526272830313233[[#This Row],[الدولار]]+(Table13456781011121314151617181920212223242526272830313233[[#This Row],[اللبناني]]/90)</f>
        <v>0</v>
      </c>
      <c r="M127" s="6"/>
    </row>
    <row r="128" spans="8:13" s="8" customFormat="1" x14ac:dyDescent="0.3">
      <c r="H128" s="5" t="s">
        <v>144</v>
      </c>
      <c r="I128" s="21"/>
      <c r="J128" s="13"/>
      <c r="L128" s="26">
        <f>Table13456781011121314151617181920212223242526272830313233[[#This Row],[الدولار]]+(Table13456781011121314151617181920212223242526272830313233[[#This Row],[اللبناني]]/90)</f>
        <v>0</v>
      </c>
      <c r="M128" s="6"/>
    </row>
    <row r="129" spans="8:13" s="8" customFormat="1" x14ac:dyDescent="0.3">
      <c r="H129" s="5" t="s">
        <v>144</v>
      </c>
      <c r="I129" s="21"/>
      <c r="J129" s="13"/>
      <c r="L129" s="26">
        <f>Table13456781011121314151617181920212223242526272830313233[[#This Row],[الدولار]]+(Table13456781011121314151617181920212223242526272830313233[[#This Row],[اللبناني]]/90)</f>
        <v>0</v>
      </c>
      <c r="M129" s="6"/>
    </row>
    <row r="130" spans="8:13" s="8" customFormat="1" x14ac:dyDescent="0.3">
      <c r="H130" s="5" t="s">
        <v>144</v>
      </c>
      <c r="I130" s="21"/>
      <c r="J130" s="13"/>
      <c r="L130" s="26">
        <f>Table13456781011121314151617181920212223242526272830313233[[#This Row],[الدولار]]+(Table13456781011121314151617181920212223242526272830313233[[#This Row],[اللبناني]]/90)</f>
        <v>0</v>
      </c>
      <c r="M130" s="6"/>
    </row>
    <row r="131" spans="8:13" s="8" customFormat="1" x14ac:dyDescent="0.3">
      <c r="H131" s="5" t="s">
        <v>144</v>
      </c>
      <c r="I131" s="21"/>
      <c r="J131" s="13"/>
      <c r="L131" s="26">
        <f>Table13456781011121314151617181920212223242526272830313233[[#This Row],[الدولار]]+(Table13456781011121314151617181920212223242526272830313233[[#This Row],[اللبناني]]/90)</f>
        <v>0</v>
      </c>
      <c r="M131" s="6"/>
    </row>
    <row r="132" spans="8:13" s="8" customFormat="1" x14ac:dyDescent="0.3">
      <c r="H132" s="5" t="s">
        <v>144</v>
      </c>
      <c r="I132" s="21"/>
      <c r="J132" s="13"/>
      <c r="L132" s="26">
        <f>Table13456781011121314151617181920212223242526272830313233[[#This Row],[الدولار]]+(Table13456781011121314151617181920212223242526272830313233[[#This Row],[اللبناني]]/90)</f>
        <v>0</v>
      </c>
      <c r="M132" s="6"/>
    </row>
    <row r="133" spans="8:13" s="8" customFormat="1" x14ac:dyDescent="0.3">
      <c r="H133" s="5" t="s">
        <v>144</v>
      </c>
      <c r="I133" s="21"/>
      <c r="J133" s="13"/>
      <c r="L133" s="26">
        <f>Table13456781011121314151617181920212223242526272830313233[[#This Row],[الدولار]]+(Table13456781011121314151617181920212223242526272830313233[[#This Row],[اللبناني]]/90)</f>
        <v>0</v>
      </c>
      <c r="M133" s="6"/>
    </row>
    <row r="134" spans="8:13" s="8" customFormat="1" x14ac:dyDescent="0.3">
      <c r="H134" s="5" t="s">
        <v>144</v>
      </c>
      <c r="I134" s="21"/>
      <c r="J134" s="13"/>
      <c r="L134" s="26">
        <f>Table13456781011121314151617181920212223242526272830313233[[#This Row],[الدولار]]+(Table13456781011121314151617181920212223242526272830313233[[#This Row],[اللبناني]]/90)</f>
        <v>0</v>
      </c>
      <c r="M134" s="6"/>
    </row>
    <row r="135" spans="8:13" s="8" customFormat="1" x14ac:dyDescent="0.3">
      <c r="H135" s="5" t="s">
        <v>144</v>
      </c>
      <c r="I135" s="21"/>
      <c r="J135" s="13"/>
      <c r="L135" s="26">
        <f>Table13456781011121314151617181920212223242526272830313233[[#This Row],[الدولار]]+(Table13456781011121314151617181920212223242526272830313233[[#This Row],[اللبناني]]/90)</f>
        <v>0</v>
      </c>
      <c r="M135" s="6"/>
    </row>
    <row r="136" spans="8:13" s="8" customFormat="1" x14ac:dyDescent="0.3">
      <c r="H136" s="5" t="s">
        <v>144</v>
      </c>
      <c r="I136" s="21"/>
      <c r="J136" s="13"/>
      <c r="L136" s="26">
        <f>Table13456781011121314151617181920212223242526272830313233[[#This Row],[الدولار]]+(Table13456781011121314151617181920212223242526272830313233[[#This Row],[اللبناني]]/90)</f>
        <v>0</v>
      </c>
      <c r="M136" s="6"/>
    </row>
    <row r="137" spans="8:13" s="8" customFormat="1" x14ac:dyDescent="0.3">
      <c r="H137" s="5" t="s">
        <v>144</v>
      </c>
      <c r="I137" s="21"/>
      <c r="J137" s="13"/>
      <c r="L137" s="26">
        <f>Table13456781011121314151617181920212223242526272830313233[[#This Row],[الدولار]]+(Table13456781011121314151617181920212223242526272830313233[[#This Row],[اللبناني]]/90)</f>
        <v>0</v>
      </c>
      <c r="M137" s="6"/>
    </row>
    <row r="138" spans="8:13" s="8" customFormat="1" x14ac:dyDescent="0.3">
      <c r="H138" s="5" t="s">
        <v>144</v>
      </c>
      <c r="I138" s="21"/>
      <c r="J138" s="13"/>
      <c r="L138" s="26">
        <f>Table13456781011121314151617181920212223242526272830313233[[#This Row],[الدولار]]+(Table13456781011121314151617181920212223242526272830313233[[#This Row],[اللبناني]]/90)</f>
        <v>0</v>
      </c>
      <c r="M138" s="6"/>
    </row>
    <row r="139" spans="8:13" s="8" customFormat="1" x14ac:dyDescent="0.3">
      <c r="H139" s="5" t="s">
        <v>144</v>
      </c>
      <c r="I139" s="21"/>
      <c r="J139" s="13"/>
      <c r="L139" s="26">
        <f>Table13456781011121314151617181920212223242526272830313233[[#This Row],[الدولار]]+(Table13456781011121314151617181920212223242526272830313233[[#This Row],[اللبناني]]/90)</f>
        <v>0</v>
      </c>
      <c r="M139" s="6"/>
    </row>
    <row r="140" spans="8:13" s="8" customFormat="1" x14ac:dyDescent="0.3">
      <c r="H140" s="5" t="s">
        <v>144</v>
      </c>
      <c r="I140" s="21"/>
      <c r="J140" s="13"/>
      <c r="L140" s="26">
        <f>Table13456781011121314151617181920212223242526272830313233[[#This Row],[الدولار]]+(Table13456781011121314151617181920212223242526272830313233[[#This Row],[اللبناني]]/90)</f>
        <v>0</v>
      </c>
      <c r="M140" s="6"/>
    </row>
    <row r="141" spans="8:13" s="8" customFormat="1" x14ac:dyDescent="0.3">
      <c r="H141" s="5" t="s">
        <v>144</v>
      </c>
      <c r="I141" s="21"/>
      <c r="J141" s="13"/>
      <c r="L141" s="26">
        <f>Table13456781011121314151617181920212223242526272830313233[[#This Row],[الدولار]]+(Table13456781011121314151617181920212223242526272830313233[[#This Row],[اللبناني]]/90)</f>
        <v>0</v>
      </c>
      <c r="M141" s="6"/>
    </row>
    <row r="142" spans="8:13" s="8" customFormat="1" x14ac:dyDescent="0.3">
      <c r="H142" s="5" t="s">
        <v>144</v>
      </c>
      <c r="I142" s="21"/>
      <c r="J142" s="13"/>
      <c r="L142" s="26">
        <f>Table13456781011121314151617181920212223242526272830313233[[#This Row],[الدولار]]+(Table13456781011121314151617181920212223242526272830313233[[#This Row],[اللبناني]]/90)</f>
        <v>0</v>
      </c>
      <c r="M142" s="6"/>
    </row>
    <row r="143" spans="8:13" s="8" customFormat="1" x14ac:dyDescent="0.3">
      <c r="H143" s="5" t="s">
        <v>144</v>
      </c>
      <c r="I143" s="21"/>
      <c r="J143" s="13"/>
      <c r="L143" s="26">
        <f>Table13456781011121314151617181920212223242526272830313233[[#This Row],[الدولار]]+(Table13456781011121314151617181920212223242526272830313233[[#This Row],[اللبناني]]/90)</f>
        <v>0</v>
      </c>
      <c r="M143" s="6"/>
    </row>
    <row r="144" spans="8:13" s="8" customFormat="1" x14ac:dyDescent="0.3">
      <c r="H144" s="5" t="s">
        <v>144</v>
      </c>
      <c r="I144" s="21"/>
      <c r="J144" s="13"/>
      <c r="L144" s="26">
        <f>Table13456781011121314151617181920212223242526272830313233[[#This Row],[الدولار]]+(Table13456781011121314151617181920212223242526272830313233[[#This Row],[اللبناني]]/90)</f>
        <v>0</v>
      </c>
      <c r="M144" s="6"/>
    </row>
    <row r="145" spans="8:13" s="8" customFormat="1" x14ac:dyDescent="0.3">
      <c r="H145" s="5" t="s">
        <v>144</v>
      </c>
      <c r="I145" s="21"/>
      <c r="J145" s="13"/>
      <c r="L145" s="26">
        <f>Table13456781011121314151617181920212223242526272830313233[[#This Row],[الدولار]]+(Table13456781011121314151617181920212223242526272830313233[[#This Row],[اللبناني]]/90)</f>
        <v>0</v>
      </c>
      <c r="M145" s="6"/>
    </row>
    <row r="146" spans="8:13" s="8" customFormat="1" x14ac:dyDescent="0.3">
      <c r="H146" s="5" t="s">
        <v>144</v>
      </c>
      <c r="I146" s="21"/>
      <c r="J146" s="13"/>
      <c r="L146" s="26">
        <f>Table13456781011121314151617181920212223242526272830313233[[#This Row],[الدولار]]+(Table13456781011121314151617181920212223242526272830313233[[#This Row],[اللبناني]]/90)</f>
        <v>0</v>
      </c>
      <c r="M146" s="6"/>
    </row>
    <row r="147" spans="8:13" s="8" customFormat="1" x14ac:dyDescent="0.3">
      <c r="H147" s="5" t="s">
        <v>144</v>
      </c>
      <c r="I147" s="21"/>
      <c r="J147" s="13"/>
      <c r="L147" s="26">
        <f>Table13456781011121314151617181920212223242526272830313233[[#This Row],[الدولار]]+(Table13456781011121314151617181920212223242526272830313233[[#This Row],[اللبناني]]/90)</f>
        <v>0</v>
      </c>
      <c r="M147" s="6"/>
    </row>
    <row r="148" spans="8:13" s="8" customFormat="1" x14ac:dyDescent="0.3">
      <c r="H148" s="5" t="s">
        <v>144</v>
      </c>
      <c r="I148" s="21"/>
      <c r="J148" s="13"/>
      <c r="L148" s="26">
        <f>Table13456781011121314151617181920212223242526272830313233[[#This Row],[الدولار]]+(Table13456781011121314151617181920212223242526272830313233[[#This Row],[اللبناني]]/90)</f>
        <v>0</v>
      </c>
      <c r="M148" s="6"/>
    </row>
    <row r="149" spans="8:13" s="8" customFormat="1" x14ac:dyDescent="0.3">
      <c r="H149" s="5" t="s">
        <v>144</v>
      </c>
      <c r="I149" s="21"/>
      <c r="J149" s="13"/>
      <c r="L149" s="26">
        <f>Table13456781011121314151617181920212223242526272830313233[[#This Row],[الدولار]]+(Table13456781011121314151617181920212223242526272830313233[[#This Row],[اللبناني]]/90)</f>
        <v>0</v>
      </c>
      <c r="M149" s="6"/>
    </row>
    <row r="150" spans="8:13" s="8" customFormat="1" x14ac:dyDescent="0.3">
      <c r="H150" s="5" t="s">
        <v>144</v>
      </c>
      <c r="I150" s="21"/>
      <c r="J150" s="13"/>
      <c r="L150" s="26">
        <f>Table13456781011121314151617181920212223242526272830313233[[#This Row],[الدولار]]+(Table13456781011121314151617181920212223242526272830313233[[#This Row],[اللبناني]]/90)</f>
        <v>0</v>
      </c>
      <c r="M150" s="6"/>
    </row>
    <row r="151" spans="8:13" s="8" customFormat="1" x14ac:dyDescent="0.3">
      <c r="H151" s="5" t="s">
        <v>144</v>
      </c>
      <c r="I151" s="21"/>
      <c r="J151" s="13"/>
      <c r="L151" s="26">
        <f>Table13456781011121314151617181920212223242526272830313233[[#This Row],[الدولار]]+(Table13456781011121314151617181920212223242526272830313233[[#This Row],[اللبناني]]/90)</f>
        <v>0</v>
      </c>
      <c r="M151" s="6"/>
    </row>
    <row r="152" spans="8:13" s="8" customFormat="1" x14ac:dyDescent="0.3">
      <c r="H152" s="5" t="s">
        <v>144</v>
      </c>
      <c r="I152" s="21"/>
      <c r="J152" s="13"/>
      <c r="L152" s="26">
        <f>Table13456781011121314151617181920212223242526272830313233[[#This Row],[الدولار]]+(Table13456781011121314151617181920212223242526272830313233[[#This Row],[اللبناني]]/90)</f>
        <v>0</v>
      </c>
      <c r="M152" s="6"/>
    </row>
    <row r="153" spans="8:13" s="8" customFormat="1" x14ac:dyDescent="0.3">
      <c r="H153" s="5" t="s">
        <v>144</v>
      </c>
      <c r="I153" s="21"/>
      <c r="J153" s="13"/>
      <c r="L153" s="26">
        <f>Table13456781011121314151617181920212223242526272830313233[[#This Row],[الدولار]]+(Table13456781011121314151617181920212223242526272830313233[[#This Row],[اللبناني]]/90)</f>
        <v>0</v>
      </c>
      <c r="M153" s="6"/>
    </row>
    <row r="154" spans="8:13" s="8" customFormat="1" x14ac:dyDescent="0.3">
      <c r="H154" s="5" t="s">
        <v>144</v>
      </c>
      <c r="I154" s="21"/>
      <c r="J154" s="13"/>
      <c r="L154" s="26">
        <f>Table13456781011121314151617181920212223242526272830313233[[#This Row],[الدولار]]+(Table13456781011121314151617181920212223242526272830313233[[#This Row],[اللبناني]]/90)</f>
        <v>0</v>
      </c>
      <c r="M154" s="6"/>
    </row>
    <row r="155" spans="8:13" s="8" customFormat="1" x14ac:dyDescent="0.3">
      <c r="H155" s="5" t="s">
        <v>144</v>
      </c>
      <c r="I155" s="21"/>
      <c r="J155" s="13"/>
      <c r="L155" s="26">
        <f>Table13456781011121314151617181920212223242526272830313233[[#This Row],[الدولار]]+(Table13456781011121314151617181920212223242526272830313233[[#This Row],[اللبناني]]/90)</f>
        <v>0</v>
      </c>
      <c r="M155" s="6"/>
    </row>
    <row r="156" spans="8:13" s="8" customFormat="1" x14ac:dyDescent="0.3">
      <c r="H156" s="5" t="s">
        <v>144</v>
      </c>
      <c r="I156" s="21"/>
      <c r="J156" s="13"/>
      <c r="L156" s="26">
        <f>Table13456781011121314151617181920212223242526272830313233[[#This Row],[الدولار]]+(Table13456781011121314151617181920212223242526272830313233[[#This Row],[اللبناني]]/90)</f>
        <v>0</v>
      </c>
      <c r="M156" s="6"/>
    </row>
    <row r="157" spans="8:13" s="8" customFormat="1" x14ac:dyDescent="0.3">
      <c r="H157" s="5" t="s">
        <v>144</v>
      </c>
      <c r="I157" s="21"/>
      <c r="J157" s="13"/>
      <c r="L157" s="26">
        <f>Table13456781011121314151617181920212223242526272830313233[[#This Row],[الدولار]]+(Table13456781011121314151617181920212223242526272830313233[[#This Row],[اللبناني]]/90)</f>
        <v>0</v>
      </c>
      <c r="M157" s="6"/>
    </row>
    <row r="158" spans="8:13" s="8" customFormat="1" x14ac:dyDescent="0.3">
      <c r="H158" s="5" t="s">
        <v>144</v>
      </c>
      <c r="I158" s="21"/>
      <c r="J158" s="13"/>
      <c r="L158" s="26">
        <f>Table13456781011121314151617181920212223242526272830313233[[#This Row],[الدولار]]+(Table13456781011121314151617181920212223242526272830313233[[#This Row],[اللبناني]]/90)</f>
        <v>0</v>
      </c>
      <c r="M158" s="6"/>
    </row>
    <row r="159" spans="8:13" s="8" customFormat="1" x14ac:dyDescent="0.3">
      <c r="H159" s="5" t="s">
        <v>144</v>
      </c>
      <c r="I159" s="21"/>
      <c r="J159" s="13"/>
      <c r="L159" s="26">
        <f>Table13456781011121314151617181920212223242526272830313233[[#This Row],[الدولار]]+(Table13456781011121314151617181920212223242526272830313233[[#This Row],[اللبناني]]/90)</f>
        <v>0</v>
      </c>
      <c r="M159" s="6"/>
    </row>
    <row r="160" spans="8:13" s="8" customFormat="1" x14ac:dyDescent="0.3">
      <c r="H160" s="5" t="s">
        <v>144</v>
      </c>
      <c r="I160" s="21"/>
      <c r="J160" s="13"/>
      <c r="L160" s="26">
        <f>Table13456781011121314151617181920212223242526272830313233[[#This Row],[الدولار]]+(Table13456781011121314151617181920212223242526272830313233[[#This Row],[اللبناني]]/90)</f>
        <v>0</v>
      </c>
      <c r="M160" s="6"/>
    </row>
    <row r="161" spans="8:13" s="8" customFormat="1" x14ac:dyDescent="0.3">
      <c r="H161" s="5" t="s">
        <v>144</v>
      </c>
      <c r="I161" s="21"/>
      <c r="J161" s="13"/>
      <c r="L161" s="26">
        <f>Table13456781011121314151617181920212223242526272830313233[[#This Row],[الدولار]]+(Table13456781011121314151617181920212223242526272830313233[[#This Row],[اللبناني]]/90)</f>
        <v>0</v>
      </c>
      <c r="M161" s="6"/>
    </row>
    <row r="162" spans="8:13" s="8" customFormat="1" x14ac:dyDescent="0.3">
      <c r="H162" s="5" t="s">
        <v>144</v>
      </c>
      <c r="I162" s="21"/>
      <c r="J162" s="13"/>
      <c r="L162" s="26">
        <f>Table13456781011121314151617181920212223242526272830313233[[#This Row],[الدولار]]+(Table13456781011121314151617181920212223242526272830313233[[#This Row],[اللبناني]]/90)</f>
        <v>0</v>
      </c>
      <c r="M162" s="6"/>
    </row>
    <row r="163" spans="8:13" s="8" customFormat="1" x14ac:dyDescent="0.3">
      <c r="H163" s="5" t="s">
        <v>144</v>
      </c>
      <c r="I163" s="21"/>
      <c r="J163" s="13"/>
      <c r="L163" s="26">
        <f>Table13456781011121314151617181920212223242526272830313233[[#This Row],[الدولار]]+(Table13456781011121314151617181920212223242526272830313233[[#This Row],[اللبناني]]/90)</f>
        <v>0</v>
      </c>
      <c r="M163" s="6"/>
    </row>
    <row r="164" spans="8:13" s="8" customFormat="1" x14ac:dyDescent="0.3">
      <c r="H164" s="5" t="s">
        <v>144</v>
      </c>
      <c r="I164" s="21"/>
      <c r="J164" s="13"/>
      <c r="L164" s="26">
        <f>Table13456781011121314151617181920212223242526272830313233[[#This Row],[الدولار]]+(Table13456781011121314151617181920212223242526272830313233[[#This Row],[اللبناني]]/90)</f>
        <v>0</v>
      </c>
      <c r="M164" s="6"/>
    </row>
    <row r="165" spans="8:13" s="8" customFormat="1" x14ac:dyDescent="0.3">
      <c r="H165" s="5" t="s">
        <v>144</v>
      </c>
      <c r="I165" s="21"/>
      <c r="J165" s="13"/>
      <c r="L165" s="26">
        <f>Table13456781011121314151617181920212223242526272830313233[[#This Row],[الدولار]]+(Table13456781011121314151617181920212223242526272830313233[[#This Row],[اللبناني]]/90)</f>
        <v>0</v>
      </c>
      <c r="M165" s="6"/>
    </row>
    <row r="166" spans="8:13" s="8" customFormat="1" x14ac:dyDescent="0.3">
      <c r="H166" s="5" t="s">
        <v>144</v>
      </c>
      <c r="I166" s="21"/>
      <c r="J166" s="13"/>
      <c r="L166" s="26">
        <f>Table13456781011121314151617181920212223242526272830313233[[#This Row],[الدولار]]+(Table13456781011121314151617181920212223242526272830313233[[#This Row],[اللبناني]]/90)</f>
        <v>0</v>
      </c>
      <c r="M166" s="6"/>
    </row>
    <row r="167" spans="8:13" s="8" customFormat="1" x14ac:dyDescent="0.3">
      <c r="H167" s="5" t="s">
        <v>144</v>
      </c>
      <c r="I167" s="21"/>
      <c r="J167" s="13"/>
      <c r="L167" s="26">
        <f>Table13456781011121314151617181920212223242526272830313233[[#This Row],[الدولار]]+(Table13456781011121314151617181920212223242526272830313233[[#This Row],[اللبناني]]/90)</f>
        <v>0</v>
      </c>
      <c r="M167" s="6"/>
    </row>
    <row r="168" spans="8:13" s="8" customFormat="1" x14ac:dyDescent="0.3">
      <c r="H168" s="5" t="s">
        <v>144</v>
      </c>
      <c r="I168" s="21"/>
      <c r="J168" s="13"/>
      <c r="L168" s="26">
        <f>Table13456781011121314151617181920212223242526272830313233[[#This Row],[الدولار]]+(Table13456781011121314151617181920212223242526272830313233[[#This Row],[اللبناني]]/90)</f>
        <v>0</v>
      </c>
      <c r="M168" s="6"/>
    </row>
    <row r="169" spans="8:13" s="8" customFormat="1" x14ac:dyDescent="0.3">
      <c r="H169" s="5" t="s">
        <v>144</v>
      </c>
      <c r="I169" s="21"/>
      <c r="J169" s="13"/>
      <c r="L169" s="26">
        <f>Table13456781011121314151617181920212223242526272830313233[[#This Row],[الدولار]]+(Table13456781011121314151617181920212223242526272830313233[[#This Row],[اللبناني]]/90)</f>
        <v>0</v>
      </c>
      <c r="M169" s="6"/>
    </row>
    <row r="170" spans="8:13" s="8" customFormat="1" x14ac:dyDescent="0.3">
      <c r="H170" s="5" t="s">
        <v>144</v>
      </c>
      <c r="I170" s="21"/>
      <c r="J170" s="13"/>
      <c r="L170" s="26">
        <f>Table13456781011121314151617181920212223242526272830313233[[#This Row],[الدولار]]+(Table13456781011121314151617181920212223242526272830313233[[#This Row],[اللبناني]]/90)</f>
        <v>0</v>
      </c>
      <c r="M170" s="6"/>
    </row>
    <row r="171" spans="8:13" s="8" customFormat="1" x14ac:dyDescent="0.3">
      <c r="H171" s="5" t="s">
        <v>144</v>
      </c>
      <c r="I171" s="21"/>
      <c r="J171" s="13"/>
      <c r="L171" s="26">
        <f>Table13456781011121314151617181920212223242526272830313233[[#This Row],[الدولار]]+(Table13456781011121314151617181920212223242526272830313233[[#This Row],[اللبناني]]/90)</f>
        <v>0</v>
      </c>
      <c r="M171" s="6"/>
    </row>
    <row r="172" spans="8:13" s="8" customFormat="1" x14ac:dyDescent="0.3">
      <c r="H172" s="5" t="s">
        <v>144</v>
      </c>
      <c r="I172" s="21"/>
      <c r="J172" s="13"/>
      <c r="L172" s="26">
        <f>Table13456781011121314151617181920212223242526272830313233[[#This Row],[الدولار]]+(Table13456781011121314151617181920212223242526272830313233[[#This Row],[اللبناني]]/90)</f>
        <v>0</v>
      </c>
      <c r="M172" s="6"/>
    </row>
    <row r="173" spans="8:13" s="8" customFormat="1" x14ac:dyDescent="0.3">
      <c r="H173" s="5" t="s">
        <v>144</v>
      </c>
      <c r="I173" s="21"/>
      <c r="J173" s="13"/>
      <c r="L173" s="26">
        <f>Table13456781011121314151617181920212223242526272830313233[[#This Row],[الدولار]]+(Table13456781011121314151617181920212223242526272830313233[[#This Row],[اللبناني]]/90)</f>
        <v>0</v>
      </c>
      <c r="M173" s="6"/>
    </row>
    <row r="174" spans="8:13" s="8" customFormat="1" x14ac:dyDescent="0.3">
      <c r="H174" s="5" t="s">
        <v>144</v>
      </c>
      <c r="I174" s="21"/>
      <c r="J174" s="13"/>
      <c r="L174" s="26">
        <f>Table13456781011121314151617181920212223242526272830313233[[#This Row],[الدولار]]+(Table13456781011121314151617181920212223242526272830313233[[#This Row],[اللبناني]]/90)</f>
        <v>0</v>
      </c>
      <c r="M174" s="6"/>
    </row>
    <row r="175" spans="8:13" s="8" customFormat="1" x14ac:dyDescent="0.3">
      <c r="H175" s="5" t="s">
        <v>144</v>
      </c>
      <c r="I175" s="21"/>
      <c r="J175" s="13"/>
      <c r="L175" s="26">
        <f>Table13456781011121314151617181920212223242526272830313233[[#This Row],[الدولار]]+(Table13456781011121314151617181920212223242526272830313233[[#This Row],[اللبناني]]/90)</f>
        <v>0</v>
      </c>
      <c r="M175" s="6"/>
    </row>
    <row r="176" spans="8:13" s="8" customFormat="1" x14ac:dyDescent="0.3">
      <c r="H176" s="5" t="s">
        <v>144</v>
      </c>
      <c r="I176" s="21"/>
      <c r="J176" s="13"/>
      <c r="L176" s="26">
        <f>Table13456781011121314151617181920212223242526272830313233[[#This Row],[الدولار]]+(Table13456781011121314151617181920212223242526272830313233[[#This Row],[اللبناني]]/90)</f>
        <v>0</v>
      </c>
      <c r="M176" s="6"/>
    </row>
    <row r="177" spans="8:13" s="8" customFormat="1" x14ac:dyDescent="0.3">
      <c r="H177" s="5" t="s">
        <v>144</v>
      </c>
      <c r="I177" s="21"/>
      <c r="J177" s="13"/>
      <c r="L177" s="26">
        <f>Table13456781011121314151617181920212223242526272830313233[[#This Row],[الدولار]]+(Table13456781011121314151617181920212223242526272830313233[[#This Row],[اللبناني]]/90)</f>
        <v>0</v>
      </c>
      <c r="M177" s="6"/>
    </row>
    <row r="178" spans="8:13" s="8" customFormat="1" x14ac:dyDescent="0.3">
      <c r="H178" s="5" t="s">
        <v>144</v>
      </c>
      <c r="I178" s="21"/>
      <c r="J178" s="13"/>
      <c r="L178" s="26">
        <f>Table13456781011121314151617181920212223242526272830313233[[#This Row],[الدولار]]+(Table13456781011121314151617181920212223242526272830313233[[#This Row],[اللبناني]]/90)</f>
        <v>0</v>
      </c>
      <c r="M178" s="6"/>
    </row>
    <row r="179" spans="8:13" s="8" customFormat="1" x14ac:dyDescent="0.3">
      <c r="H179" s="5" t="s">
        <v>144</v>
      </c>
      <c r="I179" s="21"/>
      <c r="J179" s="13"/>
      <c r="L179" s="26">
        <f>Table13456781011121314151617181920212223242526272830313233[[#This Row],[الدولار]]+(Table13456781011121314151617181920212223242526272830313233[[#This Row],[اللبناني]]/90)</f>
        <v>0</v>
      </c>
      <c r="M179" s="6"/>
    </row>
    <row r="180" spans="8:13" s="8" customFormat="1" x14ac:dyDescent="0.3">
      <c r="H180" s="5" t="s">
        <v>144</v>
      </c>
      <c r="I180" s="21"/>
      <c r="J180" s="13"/>
      <c r="L180" s="26">
        <f>Table13456781011121314151617181920212223242526272830313233[[#This Row],[الدولار]]+(Table13456781011121314151617181920212223242526272830313233[[#This Row],[اللبناني]]/90)</f>
        <v>0</v>
      </c>
      <c r="M180" s="6"/>
    </row>
    <row r="181" spans="8:13" s="8" customFormat="1" x14ac:dyDescent="0.3">
      <c r="H181" s="5" t="s">
        <v>144</v>
      </c>
      <c r="I181" s="21"/>
      <c r="J181" s="13"/>
      <c r="L181" s="26">
        <f>Table13456781011121314151617181920212223242526272830313233[[#This Row],[الدولار]]+(Table13456781011121314151617181920212223242526272830313233[[#This Row],[اللبناني]]/90)</f>
        <v>0</v>
      </c>
      <c r="M181" s="6"/>
    </row>
    <row r="182" spans="8:13" s="8" customFormat="1" x14ac:dyDescent="0.3">
      <c r="H182" s="5" t="s">
        <v>144</v>
      </c>
      <c r="I182" s="21"/>
      <c r="J182" s="13"/>
      <c r="L182" s="26">
        <f>Table13456781011121314151617181920212223242526272830313233[[#This Row],[الدولار]]+(Table13456781011121314151617181920212223242526272830313233[[#This Row],[اللبناني]]/90)</f>
        <v>0</v>
      </c>
      <c r="M182" s="6"/>
    </row>
    <row r="183" spans="8:13" s="8" customFormat="1" x14ac:dyDescent="0.3">
      <c r="H183" s="5" t="s">
        <v>144</v>
      </c>
      <c r="I183" s="21"/>
      <c r="J183" s="13"/>
      <c r="L183" s="26">
        <f>Table13456781011121314151617181920212223242526272830313233[[#This Row],[الدولار]]+(Table13456781011121314151617181920212223242526272830313233[[#This Row],[اللبناني]]/90)</f>
        <v>0</v>
      </c>
      <c r="M183" s="6"/>
    </row>
    <row r="184" spans="8:13" s="8" customFormat="1" x14ac:dyDescent="0.3">
      <c r="H184" s="5" t="s">
        <v>144</v>
      </c>
      <c r="I184" s="21"/>
      <c r="J184" s="13"/>
      <c r="L184" s="26">
        <f>Table13456781011121314151617181920212223242526272830313233[[#This Row],[الدولار]]+(Table13456781011121314151617181920212223242526272830313233[[#This Row],[اللبناني]]/90)</f>
        <v>0</v>
      </c>
      <c r="M184" s="6"/>
    </row>
    <row r="185" spans="8:13" s="8" customFormat="1" x14ac:dyDescent="0.3">
      <c r="H185" s="5" t="s">
        <v>144</v>
      </c>
      <c r="I185" s="21"/>
      <c r="J185" s="13"/>
      <c r="L185" s="26">
        <f>Table13456781011121314151617181920212223242526272830313233[[#This Row],[الدولار]]+(Table13456781011121314151617181920212223242526272830313233[[#This Row],[اللبناني]]/90)</f>
        <v>0</v>
      </c>
      <c r="M185" s="6"/>
    </row>
    <row r="186" spans="8:13" s="8" customFormat="1" x14ac:dyDescent="0.3">
      <c r="H186" s="5" t="s">
        <v>144</v>
      </c>
      <c r="I186" s="21"/>
      <c r="J186" s="13"/>
      <c r="L186" s="26">
        <f>Table13456781011121314151617181920212223242526272830313233[[#This Row],[الدولار]]+(Table13456781011121314151617181920212223242526272830313233[[#This Row],[اللبناني]]/90)</f>
        <v>0</v>
      </c>
      <c r="M186" s="6"/>
    </row>
    <row r="187" spans="8:13" s="8" customFormat="1" x14ac:dyDescent="0.3">
      <c r="H187" s="5" t="s">
        <v>144</v>
      </c>
      <c r="I187" s="21"/>
      <c r="J187" s="13"/>
      <c r="L187" s="26">
        <f>Table13456781011121314151617181920212223242526272830313233[[#This Row],[الدولار]]+(Table13456781011121314151617181920212223242526272830313233[[#This Row],[اللبناني]]/90)</f>
        <v>0</v>
      </c>
      <c r="M187" s="6"/>
    </row>
    <row r="188" spans="8:13" s="8" customFormat="1" x14ac:dyDescent="0.3">
      <c r="H188" s="5" t="s">
        <v>144</v>
      </c>
      <c r="I188" s="21"/>
      <c r="J188" s="13"/>
      <c r="L188" s="26">
        <f>Table13456781011121314151617181920212223242526272830313233[[#This Row],[الدولار]]+(Table13456781011121314151617181920212223242526272830313233[[#This Row],[اللبناني]]/90)</f>
        <v>0</v>
      </c>
      <c r="M188" s="6"/>
    </row>
    <row r="189" spans="8:13" s="8" customFormat="1" x14ac:dyDescent="0.3">
      <c r="H189" s="5" t="s">
        <v>144</v>
      </c>
      <c r="I189" s="21"/>
      <c r="J189" s="13"/>
      <c r="L189" s="26">
        <f>Table13456781011121314151617181920212223242526272830313233[[#This Row],[الدولار]]+(Table13456781011121314151617181920212223242526272830313233[[#This Row],[اللبناني]]/90)</f>
        <v>0</v>
      </c>
      <c r="M189" s="6"/>
    </row>
    <row r="190" spans="8:13" s="8" customFormat="1" x14ac:dyDescent="0.3">
      <c r="H190" s="5" t="s">
        <v>144</v>
      </c>
      <c r="I190" s="21"/>
      <c r="J190" s="13"/>
      <c r="L190" s="26">
        <f>Table13456781011121314151617181920212223242526272830313233[[#This Row],[الدولار]]+(Table13456781011121314151617181920212223242526272830313233[[#This Row],[اللبناني]]/90)</f>
        <v>0</v>
      </c>
      <c r="M190" s="6"/>
    </row>
    <row r="191" spans="8:13" s="8" customFormat="1" x14ac:dyDescent="0.3">
      <c r="H191" s="5" t="s">
        <v>144</v>
      </c>
      <c r="I191" s="21"/>
      <c r="J191" s="13"/>
      <c r="L191" s="26">
        <f>Table13456781011121314151617181920212223242526272830313233[[#This Row],[الدولار]]+(Table13456781011121314151617181920212223242526272830313233[[#This Row],[اللبناني]]/90)</f>
        <v>0</v>
      </c>
      <c r="M191" s="6"/>
    </row>
    <row r="192" spans="8:13" s="8" customFormat="1" x14ac:dyDescent="0.3">
      <c r="H192" s="5" t="s">
        <v>144</v>
      </c>
      <c r="I192" s="21"/>
      <c r="J192" s="13"/>
      <c r="L192" s="26">
        <f>Table13456781011121314151617181920212223242526272830313233[[#This Row],[الدولار]]+(Table13456781011121314151617181920212223242526272830313233[[#This Row],[اللبناني]]/90)</f>
        <v>0</v>
      </c>
      <c r="M192" s="6"/>
    </row>
    <row r="193" spans="8:13" s="8" customFormat="1" x14ac:dyDescent="0.3">
      <c r="H193" s="5" t="s">
        <v>144</v>
      </c>
      <c r="I193" s="21"/>
      <c r="J193" s="13"/>
      <c r="L193" s="26">
        <f>Table13456781011121314151617181920212223242526272830313233[[#This Row],[الدولار]]+(Table13456781011121314151617181920212223242526272830313233[[#This Row],[اللبناني]]/90)</f>
        <v>0</v>
      </c>
      <c r="M193" s="6"/>
    </row>
    <row r="194" spans="8:13" s="8" customFormat="1" x14ac:dyDescent="0.3">
      <c r="H194" s="5" t="s">
        <v>144</v>
      </c>
      <c r="I194" s="21"/>
      <c r="J194" s="13"/>
      <c r="L194" s="26">
        <f>Table13456781011121314151617181920212223242526272830313233[[#This Row],[الدولار]]+(Table13456781011121314151617181920212223242526272830313233[[#This Row],[اللبناني]]/90)</f>
        <v>0</v>
      </c>
      <c r="M194" s="6"/>
    </row>
    <row r="195" spans="8:13" s="8" customFormat="1" x14ac:dyDescent="0.3">
      <c r="H195" s="5" t="s">
        <v>144</v>
      </c>
      <c r="I195" s="21"/>
      <c r="J195" s="13"/>
      <c r="L195" s="26">
        <f>Table13456781011121314151617181920212223242526272830313233[[#This Row],[الدولار]]+(Table13456781011121314151617181920212223242526272830313233[[#This Row],[اللبناني]]/90)</f>
        <v>0</v>
      </c>
      <c r="M195" s="6"/>
    </row>
    <row r="196" spans="8:13" s="8" customFormat="1" x14ac:dyDescent="0.3">
      <c r="H196" s="5" t="s">
        <v>144</v>
      </c>
      <c r="I196" s="21"/>
      <c r="J196" s="13"/>
      <c r="L196" s="26">
        <f>Table13456781011121314151617181920212223242526272830313233[[#This Row],[الدولار]]+(Table13456781011121314151617181920212223242526272830313233[[#This Row],[اللبناني]]/90)</f>
        <v>0</v>
      </c>
      <c r="M196" s="6"/>
    </row>
    <row r="197" spans="8:13" s="8" customFormat="1" x14ac:dyDescent="0.3">
      <c r="H197" s="5" t="s">
        <v>144</v>
      </c>
      <c r="I197" s="21"/>
      <c r="J197" s="13"/>
      <c r="L197" s="26">
        <f>Table13456781011121314151617181920212223242526272830313233[[#This Row],[الدولار]]+(Table13456781011121314151617181920212223242526272830313233[[#This Row],[اللبناني]]/90)</f>
        <v>0</v>
      </c>
      <c r="M197" s="6"/>
    </row>
    <row r="198" spans="8:13" s="8" customFormat="1" x14ac:dyDescent="0.3">
      <c r="H198" s="5" t="s">
        <v>144</v>
      </c>
      <c r="I198" s="21"/>
      <c r="J198" s="13"/>
      <c r="L198" s="26">
        <f>Table13456781011121314151617181920212223242526272830313233[[#This Row],[الدولار]]+(Table13456781011121314151617181920212223242526272830313233[[#This Row],[اللبناني]]/90)</f>
        <v>0</v>
      </c>
      <c r="M198" s="6"/>
    </row>
    <row r="199" spans="8:13" s="8" customFormat="1" x14ac:dyDescent="0.3">
      <c r="H199" s="5" t="s">
        <v>144</v>
      </c>
      <c r="I199" s="21"/>
      <c r="J199" s="13"/>
      <c r="L199" s="26">
        <f>Table13456781011121314151617181920212223242526272830313233[[#This Row],[الدولار]]+(Table13456781011121314151617181920212223242526272830313233[[#This Row],[اللبناني]]/90)</f>
        <v>0</v>
      </c>
      <c r="M199" s="6"/>
    </row>
    <row r="200" spans="8:13" s="8" customFormat="1" x14ac:dyDescent="0.3">
      <c r="H200" s="5" t="s">
        <v>144</v>
      </c>
      <c r="I200" s="21"/>
      <c r="J200" s="13"/>
      <c r="L200" s="26">
        <f>Table13456781011121314151617181920212223242526272830313233[[#This Row],[الدولار]]+(Table13456781011121314151617181920212223242526272830313233[[#This Row],[اللبناني]]/90)</f>
        <v>0</v>
      </c>
      <c r="M200" s="6"/>
    </row>
    <row r="201" spans="8:13" s="8" customFormat="1" x14ac:dyDescent="0.3">
      <c r="H201" s="5" t="s">
        <v>144</v>
      </c>
      <c r="I201" s="21"/>
      <c r="J201" s="13"/>
      <c r="L201" s="26">
        <f>Table13456781011121314151617181920212223242526272830313233[[#This Row],[الدولار]]+(Table13456781011121314151617181920212223242526272830313233[[#This Row],[اللبناني]]/90)</f>
        <v>0</v>
      </c>
      <c r="M201" s="6"/>
    </row>
    <row r="202" spans="8:13" s="8" customFormat="1" x14ac:dyDescent="0.3">
      <c r="H202" s="5" t="s">
        <v>144</v>
      </c>
      <c r="I202" s="21"/>
      <c r="J202" s="13"/>
      <c r="L202" s="26">
        <f>Table13456781011121314151617181920212223242526272830313233[[#This Row],[الدولار]]+(Table13456781011121314151617181920212223242526272830313233[[#This Row],[اللبناني]]/90)</f>
        <v>0</v>
      </c>
      <c r="M202" s="6"/>
    </row>
    <row r="203" spans="8:13" s="8" customFormat="1" x14ac:dyDescent="0.3">
      <c r="H203" s="5" t="s">
        <v>144</v>
      </c>
      <c r="I203" s="21"/>
      <c r="J203" s="13"/>
      <c r="L203" s="26">
        <f>Table13456781011121314151617181920212223242526272830313233[[#This Row],[الدولار]]+(Table13456781011121314151617181920212223242526272830313233[[#This Row],[اللبناني]]/90)</f>
        <v>0</v>
      </c>
      <c r="M203" s="6"/>
    </row>
    <row r="204" spans="8:13" s="8" customFormat="1" x14ac:dyDescent="0.3">
      <c r="H204" s="5" t="s">
        <v>144</v>
      </c>
      <c r="I204" s="21"/>
      <c r="J204" s="13"/>
      <c r="L204" s="26">
        <f>Table13456781011121314151617181920212223242526272830313233[[#This Row],[الدولار]]+(Table13456781011121314151617181920212223242526272830313233[[#This Row],[اللبناني]]/90)</f>
        <v>0</v>
      </c>
      <c r="M204" s="6"/>
    </row>
    <row r="205" spans="8:13" s="8" customFormat="1" x14ac:dyDescent="0.3">
      <c r="H205" s="5" t="s">
        <v>144</v>
      </c>
      <c r="I205" s="21"/>
      <c r="J205" s="13"/>
      <c r="L205" s="26">
        <f>Table13456781011121314151617181920212223242526272830313233[[#This Row],[الدولار]]+(Table13456781011121314151617181920212223242526272830313233[[#This Row],[اللبناني]]/90)</f>
        <v>0</v>
      </c>
      <c r="M205" s="6"/>
    </row>
    <row r="206" spans="8:13" s="8" customFormat="1" x14ac:dyDescent="0.3">
      <c r="H206" s="5" t="s">
        <v>144</v>
      </c>
      <c r="I206" s="21"/>
      <c r="J206" s="13"/>
      <c r="L206" s="26">
        <f>Table13456781011121314151617181920212223242526272830313233[[#This Row],[الدولار]]+(Table13456781011121314151617181920212223242526272830313233[[#This Row],[اللبناني]]/90)</f>
        <v>0</v>
      </c>
      <c r="M206" s="6"/>
    </row>
    <row r="207" spans="8:13" s="8" customFormat="1" x14ac:dyDescent="0.3">
      <c r="H207" s="5" t="s">
        <v>144</v>
      </c>
      <c r="I207" s="21"/>
      <c r="J207" s="13"/>
      <c r="L207" s="26">
        <f>Table13456781011121314151617181920212223242526272830313233[[#This Row],[الدولار]]+(Table13456781011121314151617181920212223242526272830313233[[#This Row],[اللبناني]]/90)</f>
        <v>0</v>
      </c>
      <c r="M207" s="6"/>
    </row>
    <row r="208" spans="8:13" s="8" customFormat="1" x14ac:dyDescent="0.3">
      <c r="H208" s="5" t="s">
        <v>144</v>
      </c>
      <c r="I208" s="21"/>
      <c r="J208" s="13"/>
      <c r="L208" s="26">
        <f>Table13456781011121314151617181920212223242526272830313233[[#This Row],[الدولار]]+(Table13456781011121314151617181920212223242526272830313233[[#This Row],[اللبناني]]/90)</f>
        <v>0</v>
      </c>
      <c r="M208" s="6"/>
    </row>
    <row r="209" spans="8:13" s="8" customFormat="1" x14ac:dyDescent="0.3">
      <c r="H209" s="5" t="s">
        <v>144</v>
      </c>
      <c r="I209" s="21"/>
      <c r="J209" s="13"/>
      <c r="L209" s="26">
        <f>Table13456781011121314151617181920212223242526272830313233[[#This Row],[الدولار]]+(Table13456781011121314151617181920212223242526272830313233[[#This Row],[اللبناني]]/90)</f>
        <v>0</v>
      </c>
      <c r="M209" s="6"/>
    </row>
    <row r="210" spans="8:13" s="8" customFormat="1" x14ac:dyDescent="0.3">
      <c r="H210" s="5" t="s">
        <v>144</v>
      </c>
      <c r="I210" s="21"/>
      <c r="J210" s="13"/>
      <c r="L210" s="26">
        <f>Table13456781011121314151617181920212223242526272830313233[[#This Row],[الدولار]]+(Table13456781011121314151617181920212223242526272830313233[[#This Row],[اللبناني]]/90)</f>
        <v>0</v>
      </c>
      <c r="M210" s="6"/>
    </row>
    <row r="211" spans="8:13" s="8" customFormat="1" x14ac:dyDescent="0.3">
      <c r="H211" s="5" t="s">
        <v>144</v>
      </c>
      <c r="I211" s="21"/>
      <c r="J211" s="13"/>
      <c r="L211" s="26">
        <f>Table13456781011121314151617181920212223242526272830313233[[#This Row],[الدولار]]+(Table13456781011121314151617181920212223242526272830313233[[#This Row],[اللبناني]]/90)</f>
        <v>0</v>
      </c>
      <c r="M211" s="6"/>
    </row>
    <row r="212" spans="8:13" s="8" customFormat="1" x14ac:dyDescent="0.3">
      <c r="H212" s="5" t="s">
        <v>144</v>
      </c>
      <c r="I212" s="21"/>
      <c r="J212" s="13"/>
      <c r="L212" s="26">
        <f>Table13456781011121314151617181920212223242526272830313233[[#This Row],[الدولار]]+(Table13456781011121314151617181920212223242526272830313233[[#This Row],[اللبناني]]/90)</f>
        <v>0</v>
      </c>
      <c r="M212" s="6"/>
    </row>
    <row r="213" spans="8:13" s="8" customFormat="1" x14ac:dyDescent="0.3">
      <c r="H213" s="5" t="s">
        <v>144</v>
      </c>
      <c r="I213" s="21"/>
      <c r="J213" s="13"/>
      <c r="L213" s="26">
        <f>Table13456781011121314151617181920212223242526272830313233[[#This Row],[الدولار]]+(Table13456781011121314151617181920212223242526272830313233[[#This Row],[اللبناني]]/90)</f>
        <v>0</v>
      </c>
      <c r="M213" s="6"/>
    </row>
    <row r="214" spans="8:13" s="8" customFormat="1" x14ac:dyDescent="0.3">
      <c r="H214" s="5" t="s">
        <v>144</v>
      </c>
      <c r="I214" s="21"/>
      <c r="J214" s="13"/>
      <c r="L214" s="26">
        <f>Table13456781011121314151617181920212223242526272830313233[[#This Row],[الدولار]]+(Table13456781011121314151617181920212223242526272830313233[[#This Row],[اللبناني]]/90)</f>
        <v>0</v>
      </c>
      <c r="M214" s="6"/>
    </row>
    <row r="215" spans="8:13" s="8" customFormat="1" x14ac:dyDescent="0.3">
      <c r="H215" s="5" t="s">
        <v>144</v>
      </c>
      <c r="I215" s="21"/>
      <c r="J215" s="13"/>
      <c r="L215" s="26">
        <f>Table13456781011121314151617181920212223242526272830313233[[#This Row],[الدولار]]+(Table13456781011121314151617181920212223242526272830313233[[#This Row],[اللبناني]]/90)</f>
        <v>0</v>
      </c>
      <c r="M215" s="6"/>
    </row>
    <row r="216" spans="8:13" s="8" customFormat="1" x14ac:dyDescent="0.3">
      <c r="H216" s="5" t="s">
        <v>144</v>
      </c>
      <c r="I216" s="21"/>
      <c r="J216" s="13"/>
      <c r="L216" s="26">
        <f>Table13456781011121314151617181920212223242526272830313233[[#This Row],[الدولار]]+(Table13456781011121314151617181920212223242526272830313233[[#This Row],[اللبناني]]/90)</f>
        <v>0</v>
      </c>
      <c r="M216" s="6"/>
    </row>
    <row r="217" spans="8:13" s="8" customFormat="1" x14ac:dyDescent="0.3">
      <c r="H217" s="5" t="s">
        <v>144</v>
      </c>
      <c r="I217" s="21"/>
      <c r="J217" s="13"/>
      <c r="L217" s="26">
        <f>Table13456781011121314151617181920212223242526272830313233[[#This Row],[الدولار]]+(Table13456781011121314151617181920212223242526272830313233[[#This Row],[اللبناني]]/90)</f>
        <v>0</v>
      </c>
      <c r="M217" s="6"/>
    </row>
    <row r="218" spans="8:13" s="8" customFormat="1" x14ac:dyDescent="0.3">
      <c r="H218" s="5" t="s">
        <v>144</v>
      </c>
      <c r="I218" s="21"/>
      <c r="J218" s="13"/>
      <c r="L218" s="26">
        <f>Table13456781011121314151617181920212223242526272830313233[[#This Row],[الدولار]]+(Table13456781011121314151617181920212223242526272830313233[[#This Row],[اللبناني]]/90)</f>
        <v>0</v>
      </c>
      <c r="M218" s="6"/>
    </row>
    <row r="219" spans="8:13" s="8" customFormat="1" x14ac:dyDescent="0.3">
      <c r="H219" s="5" t="s">
        <v>144</v>
      </c>
      <c r="I219" s="21"/>
      <c r="J219" s="13"/>
      <c r="L219" s="26">
        <f>Table13456781011121314151617181920212223242526272830313233[[#This Row],[الدولار]]+(Table13456781011121314151617181920212223242526272830313233[[#This Row],[اللبناني]]/90)</f>
        <v>0</v>
      </c>
      <c r="M219" s="6"/>
    </row>
    <row r="220" spans="8:13" s="8" customFormat="1" x14ac:dyDescent="0.3">
      <c r="H220" s="5" t="s">
        <v>144</v>
      </c>
      <c r="I220" s="21"/>
      <c r="J220" s="13"/>
      <c r="L220" s="26">
        <f>Table13456781011121314151617181920212223242526272830313233[[#This Row],[الدولار]]+(Table13456781011121314151617181920212223242526272830313233[[#This Row],[اللبناني]]/90)</f>
        <v>0</v>
      </c>
      <c r="M220" s="6"/>
    </row>
    <row r="221" spans="8:13" s="8" customFormat="1" x14ac:dyDescent="0.3">
      <c r="H221" s="5" t="s">
        <v>144</v>
      </c>
      <c r="I221" s="21"/>
      <c r="J221" s="13"/>
      <c r="L221" s="26">
        <f>Table13456781011121314151617181920212223242526272830313233[[#This Row],[الدولار]]+(Table13456781011121314151617181920212223242526272830313233[[#This Row],[اللبناني]]/90)</f>
        <v>0</v>
      </c>
      <c r="M221" s="6"/>
    </row>
    <row r="222" spans="8:13" s="8" customFormat="1" x14ac:dyDescent="0.3">
      <c r="H222" s="5" t="s">
        <v>144</v>
      </c>
      <c r="I222" s="21"/>
      <c r="J222" s="13"/>
      <c r="L222" s="26">
        <f>Table13456781011121314151617181920212223242526272830313233[[#This Row],[الدولار]]+(Table13456781011121314151617181920212223242526272830313233[[#This Row],[اللبناني]]/90)</f>
        <v>0</v>
      </c>
      <c r="M222" s="6"/>
    </row>
    <row r="223" spans="8:13" s="8" customFormat="1" x14ac:dyDescent="0.3">
      <c r="H223" s="5" t="s">
        <v>144</v>
      </c>
      <c r="I223" s="21"/>
      <c r="J223" s="13"/>
      <c r="L223" s="26">
        <f>Table13456781011121314151617181920212223242526272830313233[[#This Row],[الدولار]]+(Table13456781011121314151617181920212223242526272830313233[[#This Row],[اللبناني]]/90)</f>
        <v>0</v>
      </c>
      <c r="M223" s="6"/>
    </row>
    <row r="224" spans="8:13" s="8" customFormat="1" x14ac:dyDescent="0.3">
      <c r="H224" s="5" t="s">
        <v>144</v>
      </c>
      <c r="I224" s="21"/>
      <c r="J224" s="13"/>
      <c r="L224" s="26">
        <f>Table13456781011121314151617181920212223242526272830313233[[#This Row],[الدولار]]+(Table13456781011121314151617181920212223242526272830313233[[#This Row],[اللبناني]]/90)</f>
        <v>0</v>
      </c>
      <c r="M224" s="6"/>
    </row>
    <row r="225" spans="8:13" s="8" customFormat="1" x14ac:dyDescent="0.3">
      <c r="H225" s="5" t="s">
        <v>144</v>
      </c>
      <c r="I225" s="21"/>
      <c r="J225" s="13"/>
      <c r="L225" s="26">
        <f>Table13456781011121314151617181920212223242526272830313233[[#This Row],[الدولار]]+(Table13456781011121314151617181920212223242526272830313233[[#This Row],[اللبناني]]/90)</f>
        <v>0</v>
      </c>
      <c r="M225" s="6"/>
    </row>
    <row r="226" spans="8:13" s="8" customFormat="1" x14ac:dyDescent="0.3">
      <c r="H226" s="5" t="s">
        <v>144</v>
      </c>
      <c r="I226" s="21"/>
      <c r="J226" s="13"/>
      <c r="L226" s="26">
        <f>Table13456781011121314151617181920212223242526272830313233[[#This Row],[الدولار]]+(Table13456781011121314151617181920212223242526272830313233[[#This Row],[اللبناني]]/90)</f>
        <v>0</v>
      </c>
      <c r="M226" s="6"/>
    </row>
    <row r="227" spans="8:13" s="8" customFormat="1" x14ac:dyDescent="0.3">
      <c r="H227" s="5" t="s">
        <v>144</v>
      </c>
      <c r="I227" s="21"/>
      <c r="J227" s="13"/>
      <c r="L227" s="26">
        <f>Table13456781011121314151617181920212223242526272830313233[[#This Row],[الدولار]]+(Table13456781011121314151617181920212223242526272830313233[[#This Row],[اللبناني]]/90)</f>
        <v>0</v>
      </c>
      <c r="M227" s="6"/>
    </row>
    <row r="228" spans="8:13" s="8" customFormat="1" x14ac:dyDescent="0.3">
      <c r="H228" s="5" t="s">
        <v>144</v>
      </c>
      <c r="I228" s="21"/>
      <c r="J228" s="13"/>
      <c r="L228" s="26">
        <f>Table13456781011121314151617181920212223242526272830313233[[#This Row],[الدولار]]+(Table13456781011121314151617181920212223242526272830313233[[#This Row],[اللبناني]]/90)</f>
        <v>0</v>
      </c>
      <c r="M228" s="6"/>
    </row>
    <row r="229" spans="8:13" s="8" customFormat="1" x14ac:dyDescent="0.3">
      <c r="H229" s="5" t="s">
        <v>144</v>
      </c>
      <c r="I229" s="21"/>
      <c r="J229" s="13"/>
      <c r="L229" s="26">
        <f>Table13456781011121314151617181920212223242526272830313233[[#This Row],[الدولار]]+(Table13456781011121314151617181920212223242526272830313233[[#This Row],[اللبناني]]/90)</f>
        <v>0</v>
      </c>
      <c r="M229" s="6"/>
    </row>
    <row r="230" spans="8:13" s="8" customFormat="1" x14ac:dyDescent="0.3">
      <c r="H230" s="5" t="s">
        <v>144</v>
      </c>
      <c r="I230" s="21"/>
      <c r="J230" s="13"/>
      <c r="L230" s="26">
        <f>Table13456781011121314151617181920212223242526272830313233[[#This Row],[الدولار]]+(Table13456781011121314151617181920212223242526272830313233[[#This Row],[اللبناني]]/90)</f>
        <v>0</v>
      </c>
      <c r="M230" s="6"/>
    </row>
    <row r="231" spans="8:13" s="8" customFormat="1" x14ac:dyDescent="0.3">
      <c r="H231" s="5" t="s">
        <v>144</v>
      </c>
      <c r="I231" s="21"/>
      <c r="J231" s="13"/>
      <c r="L231" s="26">
        <f>Table13456781011121314151617181920212223242526272830313233[[#This Row],[الدولار]]+(Table13456781011121314151617181920212223242526272830313233[[#This Row],[اللبناني]]/90)</f>
        <v>0</v>
      </c>
      <c r="M231" s="6"/>
    </row>
    <row r="232" spans="8:13" s="8" customFormat="1" x14ac:dyDescent="0.3">
      <c r="H232" s="5" t="s">
        <v>144</v>
      </c>
      <c r="I232" s="21"/>
      <c r="J232" s="13"/>
      <c r="L232" s="26">
        <f>Table13456781011121314151617181920212223242526272830313233[[#This Row],[الدولار]]+(Table13456781011121314151617181920212223242526272830313233[[#This Row],[اللبناني]]/90)</f>
        <v>0</v>
      </c>
      <c r="M232" s="6"/>
    </row>
    <row r="233" spans="8:13" s="8" customFormat="1" x14ac:dyDescent="0.3">
      <c r="H233" s="5" t="s">
        <v>144</v>
      </c>
      <c r="I233" s="21"/>
      <c r="J233" s="13"/>
      <c r="L233" s="26">
        <f>Table13456781011121314151617181920212223242526272830313233[[#This Row],[الدولار]]+(Table13456781011121314151617181920212223242526272830313233[[#This Row],[اللبناني]]/90)</f>
        <v>0</v>
      </c>
      <c r="M233" s="6"/>
    </row>
    <row r="234" spans="8:13" s="8" customFormat="1" x14ac:dyDescent="0.3">
      <c r="H234" s="5" t="s">
        <v>144</v>
      </c>
      <c r="I234" s="21"/>
      <c r="J234" s="13"/>
      <c r="L234" s="26">
        <f>Table13456781011121314151617181920212223242526272830313233[[#This Row],[الدولار]]+(Table13456781011121314151617181920212223242526272830313233[[#This Row],[اللبناني]]/90)</f>
        <v>0</v>
      </c>
      <c r="M234" s="6"/>
    </row>
    <row r="235" spans="8:13" s="8" customFormat="1" x14ac:dyDescent="0.3">
      <c r="H235" s="5" t="s">
        <v>144</v>
      </c>
      <c r="I235" s="21"/>
      <c r="J235" s="13"/>
      <c r="L235" s="26">
        <f>Table13456781011121314151617181920212223242526272830313233[[#This Row],[الدولار]]+(Table13456781011121314151617181920212223242526272830313233[[#This Row],[اللبناني]]/90)</f>
        <v>0</v>
      </c>
      <c r="M235" s="6"/>
    </row>
    <row r="236" spans="8:13" s="8" customFormat="1" x14ac:dyDescent="0.3">
      <c r="H236" s="5" t="s">
        <v>144</v>
      </c>
      <c r="I236" s="21"/>
      <c r="J236" s="13"/>
      <c r="L236" s="26">
        <f>Table13456781011121314151617181920212223242526272830313233[[#This Row],[الدولار]]+(Table13456781011121314151617181920212223242526272830313233[[#This Row],[اللبناني]]/90)</f>
        <v>0</v>
      </c>
      <c r="M236" s="6"/>
    </row>
    <row r="237" spans="8:13" s="8" customFormat="1" x14ac:dyDescent="0.3">
      <c r="H237" s="5" t="s">
        <v>144</v>
      </c>
      <c r="I237" s="21"/>
      <c r="J237" s="13"/>
      <c r="L237" s="26">
        <f>Table13456781011121314151617181920212223242526272830313233[[#This Row],[الدولار]]+(Table13456781011121314151617181920212223242526272830313233[[#This Row],[اللبناني]]/90)</f>
        <v>0</v>
      </c>
      <c r="M237" s="6"/>
    </row>
    <row r="238" spans="8:13" s="8" customFormat="1" x14ac:dyDescent="0.3">
      <c r="H238" s="5" t="s">
        <v>144</v>
      </c>
      <c r="I238" s="21"/>
      <c r="J238" s="13"/>
      <c r="L238" s="26">
        <f>Table13456781011121314151617181920212223242526272830313233[[#This Row],[الدولار]]+(Table13456781011121314151617181920212223242526272830313233[[#This Row],[اللبناني]]/90)</f>
        <v>0</v>
      </c>
      <c r="M238" s="6"/>
    </row>
    <row r="239" spans="8:13" s="8" customFormat="1" x14ac:dyDescent="0.3">
      <c r="H239" s="5" t="s">
        <v>144</v>
      </c>
      <c r="I239" s="21"/>
      <c r="J239" s="13"/>
      <c r="L239" s="26">
        <f>Table13456781011121314151617181920212223242526272830313233[[#This Row],[الدولار]]+(Table13456781011121314151617181920212223242526272830313233[[#This Row],[اللبناني]]/90)</f>
        <v>0</v>
      </c>
      <c r="M239" s="6"/>
    </row>
    <row r="240" spans="8:13" s="8" customFormat="1" x14ac:dyDescent="0.3">
      <c r="H240" s="5" t="s">
        <v>144</v>
      </c>
      <c r="I240" s="21"/>
      <c r="J240" s="13"/>
      <c r="L240" s="26">
        <f>Table13456781011121314151617181920212223242526272830313233[[#This Row],[الدولار]]+(Table13456781011121314151617181920212223242526272830313233[[#This Row],[اللبناني]]/90)</f>
        <v>0</v>
      </c>
      <c r="M240" s="6"/>
    </row>
    <row r="241" spans="8:13" s="8" customFormat="1" x14ac:dyDescent="0.3">
      <c r="H241" s="5" t="s">
        <v>144</v>
      </c>
      <c r="I241" s="21"/>
      <c r="J241" s="13"/>
      <c r="L241" s="26">
        <f>Table13456781011121314151617181920212223242526272830313233[[#This Row],[الدولار]]+(Table13456781011121314151617181920212223242526272830313233[[#This Row],[اللبناني]]/90)</f>
        <v>0</v>
      </c>
      <c r="M241" s="6"/>
    </row>
    <row r="242" spans="8:13" s="8" customFormat="1" x14ac:dyDescent="0.3">
      <c r="H242" s="5" t="s">
        <v>144</v>
      </c>
      <c r="I242" s="21"/>
      <c r="J242" s="13"/>
      <c r="L242" s="26">
        <f>Table13456781011121314151617181920212223242526272830313233[[#This Row],[الدولار]]+(Table13456781011121314151617181920212223242526272830313233[[#This Row],[اللبناني]]/90)</f>
        <v>0</v>
      </c>
      <c r="M242" s="6"/>
    </row>
    <row r="243" spans="8:13" s="8" customFormat="1" x14ac:dyDescent="0.3">
      <c r="H243" s="5" t="s">
        <v>144</v>
      </c>
      <c r="I243" s="21"/>
      <c r="J243" s="13"/>
      <c r="L243" s="26">
        <f>Table13456781011121314151617181920212223242526272830313233[[#This Row],[الدولار]]+(Table13456781011121314151617181920212223242526272830313233[[#This Row],[اللبناني]]/90)</f>
        <v>0</v>
      </c>
      <c r="M243" s="6"/>
    </row>
    <row r="244" spans="8:13" s="8" customFormat="1" x14ac:dyDescent="0.3">
      <c r="H244" s="5" t="s">
        <v>144</v>
      </c>
      <c r="I244" s="21"/>
      <c r="J244" s="13"/>
      <c r="L244" s="26">
        <f>Table13456781011121314151617181920212223242526272830313233[[#This Row],[الدولار]]+(Table13456781011121314151617181920212223242526272830313233[[#This Row],[اللبناني]]/90)</f>
        <v>0</v>
      </c>
      <c r="M244" s="6"/>
    </row>
    <row r="245" spans="8:13" s="8" customFormat="1" x14ac:dyDescent="0.3">
      <c r="H245" s="5" t="s">
        <v>144</v>
      </c>
      <c r="I245" s="21"/>
      <c r="J245" s="13"/>
      <c r="L245" s="26">
        <f>Table13456781011121314151617181920212223242526272830313233[[#This Row],[الدولار]]+(Table13456781011121314151617181920212223242526272830313233[[#This Row],[اللبناني]]/90)</f>
        <v>0</v>
      </c>
      <c r="M245" s="6"/>
    </row>
    <row r="246" spans="8:13" s="8" customFormat="1" x14ac:dyDescent="0.3">
      <c r="H246" s="5" t="s">
        <v>144</v>
      </c>
      <c r="I246" s="21"/>
      <c r="J246" s="13"/>
      <c r="L246" s="26">
        <f>Table13456781011121314151617181920212223242526272830313233[[#This Row],[الدولار]]+(Table13456781011121314151617181920212223242526272830313233[[#This Row],[اللبناني]]/90)</f>
        <v>0</v>
      </c>
      <c r="M246" s="6"/>
    </row>
    <row r="247" spans="8:13" s="8" customFormat="1" x14ac:dyDescent="0.3">
      <c r="H247" s="5" t="s">
        <v>144</v>
      </c>
      <c r="I247" s="21"/>
      <c r="J247" s="13"/>
      <c r="L247" s="26">
        <f>Table13456781011121314151617181920212223242526272830313233[[#This Row],[الدولار]]+(Table13456781011121314151617181920212223242526272830313233[[#This Row],[اللبناني]]/90)</f>
        <v>0</v>
      </c>
      <c r="M247" s="6"/>
    </row>
    <row r="248" spans="8:13" s="8" customFormat="1" x14ac:dyDescent="0.3">
      <c r="H248" s="5" t="s">
        <v>144</v>
      </c>
      <c r="I248" s="21"/>
      <c r="J248" s="13"/>
      <c r="L248" s="26">
        <f>Table13456781011121314151617181920212223242526272830313233[[#This Row],[الدولار]]+(Table13456781011121314151617181920212223242526272830313233[[#This Row],[اللبناني]]/90)</f>
        <v>0</v>
      </c>
      <c r="M248" s="6"/>
    </row>
    <row r="249" spans="8:13" s="8" customFormat="1" x14ac:dyDescent="0.3">
      <c r="H249" s="5" t="s">
        <v>144</v>
      </c>
      <c r="I249" s="21"/>
      <c r="J249" s="13"/>
      <c r="L249" s="26">
        <f>Table13456781011121314151617181920212223242526272830313233[[#This Row],[الدولار]]+(Table13456781011121314151617181920212223242526272830313233[[#This Row],[اللبناني]]/90)</f>
        <v>0</v>
      </c>
      <c r="M249" s="6"/>
    </row>
    <row r="250" spans="8:13" s="8" customFormat="1" x14ac:dyDescent="0.3">
      <c r="H250" s="5" t="s">
        <v>144</v>
      </c>
      <c r="I250" s="21"/>
      <c r="J250" s="13"/>
      <c r="L250" s="26">
        <f>Table13456781011121314151617181920212223242526272830313233[[#This Row],[الدولار]]+(Table13456781011121314151617181920212223242526272830313233[[#This Row],[اللبناني]]/90)</f>
        <v>0</v>
      </c>
      <c r="M250" s="6"/>
    </row>
    <row r="251" spans="8:13" s="8" customFormat="1" x14ac:dyDescent="0.3">
      <c r="H251" s="5" t="s">
        <v>144</v>
      </c>
      <c r="I251" s="21"/>
      <c r="J251" s="13"/>
      <c r="L251" s="26">
        <f>Table13456781011121314151617181920212223242526272830313233[[#This Row],[الدولار]]+(Table13456781011121314151617181920212223242526272830313233[[#This Row],[اللبناني]]/90)</f>
        <v>0</v>
      </c>
      <c r="M251" s="6"/>
    </row>
    <row r="252" spans="8:13" s="8" customFormat="1" x14ac:dyDescent="0.3">
      <c r="H252" s="5" t="s">
        <v>144</v>
      </c>
      <c r="I252" s="21"/>
      <c r="J252" s="13"/>
      <c r="L252" s="26">
        <f>Table13456781011121314151617181920212223242526272830313233[[#This Row],[الدولار]]+(Table13456781011121314151617181920212223242526272830313233[[#This Row],[اللبناني]]/90)</f>
        <v>0</v>
      </c>
      <c r="M252" s="6"/>
    </row>
    <row r="253" spans="8:13" s="8" customFormat="1" x14ac:dyDescent="0.3">
      <c r="H253" s="5" t="s">
        <v>144</v>
      </c>
      <c r="I253" s="21"/>
      <c r="J253" s="13"/>
      <c r="L253" s="26">
        <f>Table13456781011121314151617181920212223242526272830313233[[#This Row],[الدولار]]+(Table13456781011121314151617181920212223242526272830313233[[#This Row],[اللبناني]]/90)</f>
        <v>0</v>
      </c>
      <c r="M253" s="6"/>
    </row>
    <row r="254" spans="8:13" s="8" customFormat="1" x14ac:dyDescent="0.3">
      <c r="H254" s="5" t="s">
        <v>144</v>
      </c>
      <c r="I254" s="21"/>
      <c r="J254" s="13"/>
      <c r="L254" s="26">
        <f>Table13456781011121314151617181920212223242526272830313233[[#This Row],[الدولار]]+(Table13456781011121314151617181920212223242526272830313233[[#This Row],[اللبناني]]/90)</f>
        <v>0</v>
      </c>
      <c r="M254" s="6"/>
    </row>
    <row r="255" spans="8:13" s="8" customFormat="1" x14ac:dyDescent="0.3">
      <c r="H255" s="5" t="s">
        <v>144</v>
      </c>
      <c r="I255" s="21"/>
      <c r="J255" s="13"/>
      <c r="L255" s="26">
        <f>Table13456781011121314151617181920212223242526272830313233[[#This Row],[الدولار]]+(Table13456781011121314151617181920212223242526272830313233[[#This Row],[اللبناني]]/90)</f>
        <v>0</v>
      </c>
      <c r="M255" s="6"/>
    </row>
    <row r="256" spans="8:13" s="8" customFormat="1" x14ac:dyDescent="0.3">
      <c r="H256" s="5" t="s">
        <v>144</v>
      </c>
      <c r="I256" s="21"/>
      <c r="J256" s="13"/>
      <c r="L256" s="26">
        <f>Table13456781011121314151617181920212223242526272830313233[[#This Row],[الدولار]]+(Table13456781011121314151617181920212223242526272830313233[[#This Row],[اللبناني]]/90)</f>
        <v>0</v>
      </c>
      <c r="M256" s="6"/>
    </row>
    <row r="257" spans="8:13" s="8" customFormat="1" x14ac:dyDescent="0.3">
      <c r="H257" s="5" t="s">
        <v>144</v>
      </c>
      <c r="I257" s="21"/>
      <c r="J257" s="13"/>
      <c r="L257" s="26">
        <f>Table13456781011121314151617181920212223242526272830313233[[#This Row],[الدولار]]+(Table13456781011121314151617181920212223242526272830313233[[#This Row],[اللبناني]]/90)</f>
        <v>0</v>
      </c>
      <c r="M257" s="6"/>
    </row>
    <row r="258" spans="8:13" s="8" customFormat="1" x14ac:dyDescent="0.3">
      <c r="H258" s="5" t="s">
        <v>144</v>
      </c>
      <c r="I258" s="21"/>
      <c r="J258" s="13"/>
      <c r="L258" s="26">
        <f>Table13456781011121314151617181920212223242526272830313233[[#This Row],[الدولار]]+(Table13456781011121314151617181920212223242526272830313233[[#This Row],[اللبناني]]/90)</f>
        <v>0</v>
      </c>
      <c r="M258" s="6"/>
    </row>
    <row r="259" spans="8:13" s="8" customFormat="1" x14ac:dyDescent="0.3">
      <c r="H259" s="5" t="s">
        <v>144</v>
      </c>
      <c r="I259" s="21"/>
      <c r="J259" s="13"/>
      <c r="L259" s="26">
        <f>Table13456781011121314151617181920212223242526272830313233[[#This Row],[الدولار]]+(Table13456781011121314151617181920212223242526272830313233[[#This Row],[اللبناني]]/90)</f>
        <v>0</v>
      </c>
      <c r="M259" s="6"/>
    </row>
    <row r="260" spans="8:13" s="8" customFormat="1" x14ac:dyDescent="0.3">
      <c r="H260" s="5" t="s">
        <v>144</v>
      </c>
      <c r="I260" s="21"/>
      <c r="J260" s="13"/>
      <c r="L260" s="26">
        <f>Table13456781011121314151617181920212223242526272830313233[[#This Row],[الدولار]]+(Table13456781011121314151617181920212223242526272830313233[[#This Row],[اللبناني]]/90)</f>
        <v>0</v>
      </c>
      <c r="M260" s="6"/>
    </row>
    <row r="261" spans="8:13" s="8" customFormat="1" x14ac:dyDescent="0.3">
      <c r="H261" s="5" t="s">
        <v>144</v>
      </c>
      <c r="I261" s="21"/>
      <c r="J261" s="13"/>
      <c r="L261" s="26">
        <f>Table13456781011121314151617181920212223242526272830313233[[#This Row],[الدولار]]+(Table13456781011121314151617181920212223242526272830313233[[#This Row],[اللبناني]]/90)</f>
        <v>0</v>
      </c>
      <c r="M261" s="6"/>
    </row>
    <row r="262" spans="8:13" s="8" customFormat="1" x14ac:dyDescent="0.3">
      <c r="H262" s="5" t="s">
        <v>144</v>
      </c>
      <c r="I262" s="21"/>
      <c r="J262" s="13"/>
      <c r="L262" s="26">
        <f>Table13456781011121314151617181920212223242526272830313233[[#This Row],[الدولار]]+(Table13456781011121314151617181920212223242526272830313233[[#This Row],[اللبناني]]/90)</f>
        <v>0</v>
      </c>
      <c r="M262" s="6"/>
    </row>
    <row r="263" spans="8:13" s="8" customFormat="1" x14ac:dyDescent="0.3">
      <c r="H263" s="5" t="s">
        <v>144</v>
      </c>
      <c r="I263" s="21"/>
      <c r="J263" s="13"/>
      <c r="L263" s="26">
        <f>Table13456781011121314151617181920212223242526272830313233[[#This Row],[الدولار]]+(Table13456781011121314151617181920212223242526272830313233[[#This Row],[اللبناني]]/90)</f>
        <v>0</v>
      </c>
      <c r="M263" s="6"/>
    </row>
    <row r="264" spans="8:13" s="8" customFormat="1" x14ac:dyDescent="0.3">
      <c r="H264" s="5" t="s">
        <v>144</v>
      </c>
      <c r="I264" s="21"/>
      <c r="J264" s="13"/>
      <c r="L264" s="26">
        <f>Table13456781011121314151617181920212223242526272830313233[[#This Row],[الدولار]]+(Table13456781011121314151617181920212223242526272830313233[[#This Row],[اللبناني]]/90)</f>
        <v>0</v>
      </c>
      <c r="M264" s="6"/>
    </row>
    <row r="265" spans="8:13" s="8" customFormat="1" x14ac:dyDescent="0.3">
      <c r="H265" s="5" t="s">
        <v>144</v>
      </c>
      <c r="I265" s="21"/>
      <c r="J265" s="13"/>
      <c r="L265" s="26">
        <f>Table13456781011121314151617181920212223242526272830313233[[#This Row],[الدولار]]+(Table13456781011121314151617181920212223242526272830313233[[#This Row],[اللبناني]]/90)</f>
        <v>0</v>
      </c>
      <c r="M265" s="6"/>
    </row>
    <row r="266" spans="8:13" s="8" customFormat="1" x14ac:dyDescent="0.3">
      <c r="H266" s="5" t="s">
        <v>144</v>
      </c>
      <c r="I266" s="21"/>
      <c r="J266" s="13"/>
      <c r="L266" s="26">
        <f>Table13456781011121314151617181920212223242526272830313233[[#This Row],[الدولار]]+(Table13456781011121314151617181920212223242526272830313233[[#This Row],[اللبناني]]/90)</f>
        <v>0</v>
      </c>
      <c r="M266" s="6"/>
    </row>
    <row r="267" spans="8:13" s="8" customFormat="1" x14ac:dyDescent="0.3">
      <c r="H267" s="5" t="s">
        <v>144</v>
      </c>
      <c r="I267" s="21"/>
      <c r="J267" s="13"/>
      <c r="L267" s="26">
        <f>Table13456781011121314151617181920212223242526272830313233[[#This Row],[الدولار]]+(Table13456781011121314151617181920212223242526272830313233[[#This Row],[اللبناني]]/90)</f>
        <v>0</v>
      </c>
      <c r="M267" s="6"/>
    </row>
    <row r="268" spans="8:13" s="8" customFormat="1" x14ac:dyDescent="0.3">
      <c r="H268" s="5" t="s">
        <v>144</v>
      </c>
      <c r="I268" s="21"/>
      <c r="J268" s="13"/>
      <c r="L268" s="26">
        <f>Table13456781011121314151617181920212223242526272830313233[[#This Row],[الدولار]]+(Table13456781011121314151617181920212223242526272830313233[[#This Row],[اللبناني]]/90)</f>
        <v>0</v>
      </c>
      <c r="M268" s="6"/>
    </row>
    <row r="269" spans="8:13" s="8" customFormat="1" x14ac:dyDescent="0.3">
      <c r="H269" s="5" t="s">
        <v>144</v>
      </c>
      <c r="I269" s="21"/>
      <c r="J269" s="13"/>
      <c r="L269" s="26">
        <f>Table13456781011121314151617181920212223242526272830313233[[#This Row],[الدولار]]+(Table13456781011121314151617181920212223242526272830313233[[#This Row],[اللبناني]]/90)</f>
        <v>0</v>
      </c>
      <c r="M269" s="6"/>
    </row>
    <row r="270" spans="8:13" s="8" customFormat="1" x14ac:dyDescent="0.3">
      <c r="H270" s="5" t="s">
        <v>144</v>
      </c>
      <c r="I270" s="21"/>
      <c r="J270" s="13"/>
      <c r="L270" s="26">
        <f>Table13456781011121314151617181920212223242526272830313233[[#This Row],[الدولار]]+(Table13456781011121314151617181920212223242526272830313233[[#This Row],[اللبناني]]/90)</f>
        <v>0</v>
      </c>
      <c r="M270" s="6"/>
    </row>
    <row r="271" spans="8:13" s="8" customFormat="1" x14ac:dyDescent="0.3">
      <c r="H271" s="5" t="s">
        <v>144</v>
      </c>
      <c r="I271" s="21"/>
      <c r="J271" s="13"/>
      <c r="L271" s="26">
        <f>Table13456781011121314151617181920212223242526272830313233[[#This Row],[الدولار]]+(Table13456781011121314151617181920212223242526272830313233[[#This Row],[اللبناني]]/90)</f>
        <v>0</v>
      </c>
      <c r="M271" s="6"/>
    </row>
    <row r="272" spans="8:13" s="8" customFormat="1" x14ac:dyDescent="0.3">
      <c r="H272" s="5" t="s">
        <v>144</v>
      </c>
      <c r="I272" s="21"/>
      <c r="J272" s="13"/>
      <c r="L272" s="26">
        <f>Table13456781011121314151617181920212223242526272830313233[[#This Row],[الدولار]]+(Table13456781011121314151617181920212223242526272830313233[[#This Row],[اللبناني]]/90)</f>
        <v>0</v>
      </c>
      <c r="M272" s="6"/>
    </row>
    <row r="273" spans="8:13" s="8" customFormat="1" x14ac:dyDescent="0.3">
      <c r="H273" s="5" t="s">
        <v>144</v>
      </c>
      <c r="I273" s="21"/>
      <c r="J273" s="13"/>
      <c r="L273" s="26">
        <f>Table13456781011121314151617181920212223242526272830313233[[#This Row],[الدولار]]+(Table13456781011121314151617181920212223242526272830313233[[#This Row],[اللبناني]]/90)</f>
        <v>0</v>
      </c>
      <c r="M273" s="6"/>
    </row>
    <row r="274" spans="8:13" s="8" customFormat="1" x14ac:dyDescent="0.3">
      <c r="H274" s="5" t="s">
        <v>144</v>
      </c>
      <c r="I274" s="21"/>
      <c r="J274" s="13"/>
      <c r="L274" s="26">
        <f>Table13456781011121314151617181920212223242526272830313233[[#This Row],[الدولار]]+(Table13456781011121314151617181920212223242526272830313233[[#This Row],[اللبناني]]/90)</f>
        <v>0</v>
      </c>
      <c r="M274" s="6"/>
    </row>
    <row r="275" spans="8:13" s="8" customFormat="1" x14ac:dyDescent="0.3">
      <c r="H275" s="5" t="s">
        <v>144</v>
      </c>
      <c r="I275" s="21"/>
      <c r="J275" s="13"/>
      <c r="L275" s="26">
        <f>Table13456781011121314151617181920212223242526272830313233[[#This Row],[الدولار]]+(Table13456781011121314151617181920212223242526272830313233[[#This Row],[اللبناني]]/90)</f>
        <v>0</v>
      </c>
      <c r="M275" s="6"/>
    </row>
    <row r="276" spans="8:13" s="8" customFormat="1" x14ac:dyDescent="0.3">
      <c r="H276" s="5" t="s">
        <v>144</v>
      </c>
      <c r="I276" s="21"/>
      <c r="J276" s="13"/>
      <c r="L276" s="26">
        <f>Table13456781011121314151617181920212223242526272830313233[[#This Row],[الدولار]]+(Table13456781011121314151617181920212223242526272830313233[[#This Row],[اللبناني]]/90)</f>
        <v>0</v>
      </c>
      <c r="M276" s="6"/>
    </row>
    <row r="277" spans="8:13" s="8" customFormat="1" x14ac:dyDescent="0.3">
      <c r="H277" s="5" t="s">
        <v>144</v>
      </c>
      <c r="I277" s="21"/>
      <c r="J277" s="13"/>
      <c r="L277" s="26">
        <f>Table13456781011121314151617181920212223242526272830313233[[#This Row],[الدولار]]+(Table13456781011121314151617181920212223242526272830313233[[#This Row],[اللبناني]]/90)</f>
        <v>0</v>
      </c>
      <c r="M277" s="6"/>
    </row>
    <row r="278" spans="8:13" s="8" customFormat="1" x14ac:dyDescent="0.3">
      <c r="H278" s="5" t="s">
        <v>144</v>
      </c>
      <c r="I278" s="21"/>
      <c r="J278" s="13"/>
      <c r="L278" s="26">
        <f>Table13456781011121314151617181920212223242526272830313233[[#This Row],[الدولار]]+(Table13456781011121314151617181920212223242526272830313233[[#This Row],[اللبناني]]/90)</f>
        <v>0</v>
      </c>
      <c r="M278" s="6"/>
    </row>
    <row r="279" spans="8:13" s="8" customFormat="1" x14ac:dyDescent="0.3">
      <c r="H279" s="5" t="s">
        <v>144</v>
      </c>
      <c r="I279" s="21"/>
      <c r="J279" s="13"/>
      <c r="L279" s="26">
        <f>Table13456781011121314151617181920212223242526272830313233[[#This Row],[الدولار]]+(Table13456781011121314151617181920212223242526272830313233[[#This Row],[اللبناني]]/90)</f>
        <v>0</v>
      </c>
      <c r="M279" s="6"/>
    </row>
    <row r="280" spans="8:13" s="8" customFormat="1" x14ac:dyDescent="0.3">
      <c r="H280" s="5" t="s">
        <v>144</v>
      </c>
      <c r="I280" s="21"/>
      <c r="J280" s="13"/>
      <c r="L280" s="26">
        <f>Table13456781011121314151617181920212223242526272830313233[[#This Row],[الدولار]]+(Table13456781011121314151617181920212223242526272830313233[[#This Row],[اللبناني]]/90)</f>
        <v>0</v>
      </c>
      <c r="M280" s="6"/>
    </row>
    <row r="281" spans="8:13" s="8" customFormat="1" x14ac:dyDescent="0.3">
      <c r="H281" s="5" t="s">
        <v>144</v>
      </c>
      <c r="I281" s="21"/>
      <c r="J281" s="13"/>
      <c r="L281" s="26">
        <f>Table13456781011121314151617181920212223242526272830313233[[#This Row],[الدولار]]+(Table13456781011121314151617181920212223242526272830313233[[#This Row],[اللبناني]]/90)</f>
        <v>0</v>
      </c>
      <c r="M281" s="6"/>
    </row>
    <row r="282" spans="8:13" s="8" customFormat="1" x14ac:dyDescent="0.3">
      <c r="H282" s="5" t="s">
        <v>144</v>
      </c>
      <c r="I282" s="21"/>
      <c r="J282" s="13"/>
      <c r="L282" s="26">
        <f>Table13456781011121314151617181920212223242526272830313233[[#This Row],[الدولار]]+(Table13456781011121314151617181920212223242526272830313233[[#This Row],[اللبناني]]/90)</f>
        <v>0</v>
      </c>
      <c r="M282" s="6"/>
    </row>
    <row r="283" spans="8:13" s="8" customFormat="1" x14ac:dyDescent="0.3">
      <c r="H283" s="5" t="s">
        <v>144</v>
      </c>
      <c r="I283" s="21"/>
      <c r="J283" s="13"/>
      <c r="L283" s="26">
        <f>Table13456781011121314151617181920212223242526272830313233[[#This Row],[الدولار]]+(Table13456781011121314151617181920212223242526272830313233[[#This Row],[اللبناني]]/90)</f>
        <v>0</v>
      </c>
      <c r="M283" s="6"/>
    </row>
    <row r="284" spans="8:13" s="8" customFormat="1" x14ac:dyDescent="0.3">
      <c r="H284" s="5" t="s">
        <v>144</v>
      </c>
      <c r="I284" s="21"/>
      <c r="J284" s="13"/>
      <c r="L284" s="26">
        <f>Table13456781011121314151617181920212223242526272830313233[[#This Row],[الدولار]]+(Table13456781011121314151617181920212223242526272830313233[[#This Row],[اللبناني]]/90)</f>
        <v>0</v>
      </c>
      <c r="M284" s="6"/>
    </row>
    <row r="285" spans="8:13" s="8" customFormat="1" x14ac:dyDescent="0.3">
      <c r="H285" s="5" t="s">
        <v>144</v>
      </c>
      <c r="I285" s="21"/>
      <c r="J285" s="13"/>
      <c r="L285" s="26">
        <f>Table13456781011121314151617181920212223242526272830313233[[#This Row],[الدولار]]+(Table13456781011121314151617181920212223242526272830313233[[#This Row],[اللبناني]]/90)</f>
        <v>0</v>
      </c>
      <c r="M285" s="6"/>
    </row>
    <row r="286" spans="8:13" s="8" customFormat="1" x14ac:dyDescent="0.3">
      <c r="H286" s="5" t="s">
        <v>144</v>
      </c>
      <c r="I286" s="21"/>
      <c r="J286" s="13"/>
      <c r="L286" s="26">
        <f>Table13456781011121314151617181920212223242526272830313233[[#This Row],[الدولار]]+(Table13456781011121314151617181920212223242526272830313233[[#This Row],[اللبناني]]/90)</f>
        <v>0</v>
      </c>
      <c r="M286" s="6"/>
    </row>
    <row r="287" spans="8:13" s="8" customFormat="1" x14ac:dyDescent="0.3">
      <c r="H287" s="5" t="s">
        <v>144</v>
      </c>
      <c r="I287" s="21"/>
      <c r="J287" s="13"/>
      <c r="L287" s="26">
        <f>Table13456781011121314151617181920212223242526272830313233[[#This Row],[الدولار]]+(Table13456781011121314151617181920212223242526272830313233[[#This Row],[اللبناني]]/90)</f>
        <v>0</v>
      </c>
      <c r="M287" s="6"/>
    </row>
    <row r="288" spans="8:13" s="8" customFormat="1" x14ac:dyDescent="0.3">
      <c r="H288" s="5" t="s">
        <v>144</v>
      </c>
      <c r="I288" s="21"/>
      <c r="J288" s="13"/>
      <c r="L288" s="26">
        <f>Table13456781011121314151617181920212223242526272830313233[[#This Row],[الدولار]]+(Table13456781011121314151617181920212223242526272830313233[[#This Row],[اللبناني]]/90)</f>
        <v>0</v>
      </c>
      <c r="M288" s="6"/>
    </row>
    <row r="289" spans="8:13" s="8" customFormat="1" x14ac:dyDescent="0.3">
      <c r="H289" s="5" t="s">
        <v>144</v>
      </c>
      <c r="I289" s="21"/>
      <c r="J289" s="13"/>
      <c r="L289" s="26">
        <f>Table13456781011121314151617181920212223242526272830313233[[#This Row],[الدولار]]+(Table13456781011121314151617181920212223242526272830313233[[#This Row],[اللبناني]]/90)</f>
        <v>0</v>
      </c>
      <c r="M289" s="6"/>
    </row>
    <row r="290" spans="8:13" s="8" customFormat="1" x14ac:dyDescent="0.3">
      <c r="H290" s="5" t="s">
        <v>144</v>
      </c>
      <c r="I290" s="21"/>
      <c r="J290" s="13"/>
      <c r="L290" s="26">
        <f>Table13456781011121314151617181920212223242526272830313233[[#This Row],[الدولار]]+(Table13456781011121314151617181920212223242526272830313233[[#This Row],[اللبناني]]/90)</f>
        <v>0</v>
      </c>
      <c r="M290" s="6"/>
    </row>
    <row r="291" spans="8:13" s="8" customFormat="1" x14ac:dyDescent="0.3">
      <c r="H291" s="5" t="s">
        <v>144</v>
      </c>
      <c r="I291" s="21"/>
      <c r="J291" s="13"/>
      <c r="L291" s="26">
        <f>Table13456781011121314151617181920212223242526272830313233[[#This Row],[الدولار]]+(Table13456781011121314151617181920212223242526272830313233[[#This Row],[اللبناني]]/90)</f>
        <v>0</v>
      </c>
      <c r="M291" s="6"/>
    </row>
    <row r="292" spans="8:13" s="8" customFormat="1" x14ac:dyDescent="0.3">
      <c r="H292" s="5" t="s">
        <v>144</v>
      </c>
      <c r="I292" s="21"/>
      <c r="J292" s="13"/>
      <c r="L292" s="26">
        <f>Table13456781011121314151617181920212223242526272830313233[[#This Row],[الدولار]]+(Table13456781011121314151617181920212223242526272830313233[[#This Row],[اللبناني]]/90)</f>
        <v>0</v>
      </c>
      <c r="M292" s="6"/>
    </row>
    <row r="293" spans="8:13" s="8" customFormat="1" x14ac:dyDescent="0.3">
      <c r="H293" s="5" t="s">
        <v>144</v>
      </c>
      <c r="I293" s="21"/>
      <c r="J293" s="13"/>
      <c r="L293" s="26">
        <f>Table13456781011121314151617181920212223242526272830313233[[#This Row],[الدولار]]+(Table13456781011121314151617181920212223242526272830313233[[#This Row],[اللبناني]]/90)</f>
        <v>0</v>
      </c>
      <c r="M293" s="6"/>
    </row>
    <row r="294" spans="8:13" s="8" customFormat="1" x14ac:dyDescent="0.3">
      <c r="H294" s="5" t="s">
        <v>144</v>
      </c>
      <c r="I294" s="21"/>
      <c r="J294" s="13"/>
      <c r="L294" s="26">
        <f>Table13456781011121314151617181920212223242526272830313233[[#This Row],[الدولار]]+(Table13456781011121314151617181920212223242526272830313233[[#This Row],[اللبناني]]/90)</f>
        <v>0</v>
      </c>
      <c r="M294" s="6"/>
    </row>
    <row r="295" spans="8:13" s="8" customFormat="1" x14ac:dyDescent="0.3">
      <c r="H295" s="5" t="s">
        <v>144</v>
      </c>
      <c r="I295" s="21"/>
      <c r="J295" s="13"/>
      <c r="L295" s="26">
        <f>Table13456781011121314151617181920212223242526272830313233[[#This Row],[الدولار]]+(Table13456781011121314151617181920212223242526272830313233[[#This Row],[اللبناني]]/90)</f>
        <v>0</v>
      </c>
      <c r="M295" s="6"/>
    </row>
    <row r="296" spans="8:13" s="8" customFormat="1" x14ac:dyDescent="0.3">
      <c r="H296" s="5" t="s">
        <v>144</v>
      </c>
      <c r="I296" s="21"/>
      <c r="J296" s="13"/>
      <c r="L296" s="26">
        <f>Table13456781011121314151617181920212223242526272830313233[[#This Row],[الدولار]]+(Table13456781011121314151617181920212223242526272830313233[[#This Row],[اللبناني]]/90)</f>
        <v>0</v>
      </c>
      <c r="M296" s="6"/>
    </row>
    <row r="297" spans="8:13" s="8" customFormat="1" x14ac:dyDescent="0.3">
      <c r="H297" s="5" t="s">
        <v>144</v>
      </c>
      <c r="I297" s="21"/>
      <c r="J297" s="13"/>
      <c r="L297" s="26">
        <f>Table13456781011121314151617181920212223242526272830313233[[#This Row],[الدولار]]+(Table13456781011121314151617181920212223242526272830313233[[#This Row],[اللبناني]]/90)</f>
        <v>0</v>
      </c>
      <c r="M297" s="6"/>
    </row>
    <row r="298" spans="8:13" s="8" customFormat="1" x14ac:dyDescent="0.3">
      <c r="H298" s="5" t="s">
        <v>144</v>
      </c>
      <c r="I298" s="21"/>
      <c r="J298" s="13"/>
      <c r="L298" s="26">
        <f>Table13456781011121314151617181920212223242526272830313233[[#This Row],[الدولار]]+(Table13456781011121314151617181920212223242526272830313233[[#This Row],[اللبناني]]/90)</f>
        <v>0</v>
      </c>
      <c r="M298" s="6"/>
    </row>
    <row r="299" spans="8:13" s="8" customFormat="1" x14ac:dyDescent="0.3">
      <c r="H299" s="5" t="s">
        <v>144</v>
      </c>
      <c r="I299" s="21"/>
      <c r="J299" s="13"/>
      <c r="L299" s="26">
        <f>Table13456781011121314151617181920212223242526272830313233[[#This Row],[الدولار]]+(Table13456781011121314151617181920212223242526272830313233[[#This Row],[اللبناني]]/90)</f>
        <v>0</v>
      </c>
      <c r="M299" s="6"/>
    </row>
    <row r="300" spans="8:13" s="8" customFormat="1" x14ac:dyDescent="0.3">
      <c r="H300" s="5" t="s">
        <v>144</v>
      </c>
      <c r="I300" s="21"/>
      <c r="J300" s="13"/>
      <c r="L300" s="26">
        <f>Table13456781011121314151617181920212223242526272830313233[[#This Row],[الدولار]]+(Table13456781011121314151617181920212223242526272830313233[[#This Row],[اللبناني]]/90)</f>
        <v>0</v>
      </c>
      <c r="M300" s="6"/>
    </row>
    <row r="301" spans="8:13" s="8" customFormat="1" x14ac:dyDescent="0.3">
      <c r="H301" s="5" t="s">
        <v>144</v>
      </c>
      <c r="I301" s="21"/>
      <c r="J301" s="13"/>
      <c r="L301" s="26">
        <f>Table13456781011121314151617181920212223242526272830313233[[#This Row],[الدولار]]+(Table13456781011121314151617181920212223242526272830313233[[#This Row],[اللبناني]]/90)</f>
        <v>0</v>
      </c>
      <c r="M301" s="6"/>
    </row>
    <row r="302" spans="8:13" s="8" customFormat="1" x14ac:dyDescent="0.3">
      <c r="H302" s="5" t="s">
        <v>144</v>
      </c>
      <c r="I302" s="21"/>
      <c r="J302" s="13"/>
      <c r="L302" s="26">
        <f>Table13456781011121314151617181920212223242526272830313233[[#This Row],[الدولار]]+(Table13456781011121314151617181920212223242526272830313233[[#This Row],[اللبناني]]/90)</f>
        <v>0</v>
      </c>
      <c r="M302" s="6"/>
    </row>
    <row r="303" spans="8:13" s="8" customFormat="1" x14ac:dyDescent="0.3">
      <c r="H303" s="5" t="s">
        <v>144</v>
      </c>
      <c r="I303" s="21"/>
      <c r="J303" s="13"/>
      <c r="L303" s="26">
        <f>Table13456781011121314151617181920212223242526272830313233[[#This Row],[الدولار]]+(Table13456781011121314151617181920212223242526272830313233[[#This Row],[اللبناني]]/90)</f>
        <v>0</v>
      </c>
      <c r="M303" s="6"/>
    </row>
    <row r="304" spans="8:13" s="8" customFormat="1" x14ac:dyDescent="0.3">
      <c r="H304" s="5" t="s">
        <v>144</v>
      </c>
      <c r="I304" s="21"/>
      <c r="J304" s="13"/>
      <c r="L304" s="26">
        <f>Table13456781011121314151617181920212223242526272830313233[[#This Row],[الدولار]]+(Table13456781011121314151617181920212223242526272830313233[[#This Row],[اللبناني]]/90)</f>
        <v>0</v>
      </c>
      <c r="M304" s="6"/>
    </row>
    <row r="305" spans="8:13" s="8" customFormat="1" x14ac:dyDescent="0.3">
      <c r="H305" s="5" t="s">
        <v>144</v>
      </c>
      <c r="I305" s="21"/>
      <c r="J305" s="13"/>
      <c r="L305" s="26">
        <f>Table13456781011121314151617181920212223242526272830313233[[#This Row],[الدولار]]+(Table13456781011121314151617181920212223242526272830313233[[#This Row],[اللبناني]]/90)</f>
        <v>0</v>
      </c>
      <c r="M305" s="6"/>
    </row>
    <row r="306" spans="8:13" s="8" customFormat="1" x14ac:dyDescent="0.3">
      <c r="H306" s="5" t="s">
        <v>144</v>
      </c>
      <c r="I306" s="21"/>
      <c r="J306" s="13"/>
      <c r="L306" s="26">
        <f>Table13456781011121314151617181920212223242526272830313233[[#This Row],[الدولار]]+(Table13456781011121314151617181920212223242526272830313233[[#This Row],[اللبناني]]/90)</f>
        <v>0</v>
      </c>
      <c r="M306" s="6"/>
    </row>
    <row r="307" spans="8:13" s="8" customFormat="1" x14ac:dyDescent="0.3">
      <c r="H307" s="5" t="s">
        <v>144</v>
      </c>
      <c r="I307" s="21"/>
      <c r="J307" s="13"/>
      <c r="L307" s="26">
        <f>Table13456781011121314151617181920212223242526272830313233[[#This Row],[الدولار]]+(Table13456781011121314151617181920212223242526272830313233[[#This Row],[اللبناني]]/90)</f>
        <v>0</v>
      </c>
      <c r="M307" s="6"/>
    </row>
    <row r="308" spans="8:13" s="8" customFormat="1" x14ac:dyDescent="0.3">
      <c r="H308" s="5" t="s">
        <v>144</v>
      </c>
      <c r="I308" s="21"/>
      <c r="J308" s="13"/>
      <c r="L308" s="26">
        <f>Table13456781011121314151617181920212223242526272830313233[[#This Row],[الدولار]]+(Table13456781011121314151617181920212223242526272830313233[[#This Row],[اللبناني]]/90)</f>
        <v>0</v>
      </c>
      <c r="M308" s="6"/>
    </row>
    <row r="309" spans="8:13" s="8" customFormat="1" x14ac:dyDescent="0.3">
      <c r="H309" s="5" t="s">
        <v>144</v>
      </c>
      <c r="I309" s="21"/>
      <c r="J309" s="13"/>
      <c r="L309" s="26">
        <f>Table13456781011121314151617181920212223242526272830313233[[#This Row],[الدولار]]+(Table13456781011121314151617181920212223242526272830313233[[#This Row],[اللبناني]]/90)</f>
        <v>0</v>
      </c>
      <c r="M309" s="6"/>
    </row>
    <row r="310" spans="8:13" s="8" customFormat="1" x14ac:dyDescent="0.3">
      <c r="H310" s="5" t="s">
        <v>144</v>
      </c>
      <c r="I310" s="21"/>
      <c r="J310" s="13"/>
      <c r="L310" s="26">
        <f>Table13456781011121314151617181920212223242526272830313233[[#This Row],[الدولار]]+(Table13456781011121314151617181920212223242526272830313233[[#This Row],[اللبناني]]/90)</f>
        <v>0</v>
      </c>
      <c r="M310" s="6"/>
    </row>
    <row r="311" spans="8:13" s="8" customFormat="1" x14ac:dyDescent="0.3">
      <c r="H311" s="5" t="s">
        <v>144</v>
      </c>
      <c r="I311" s="21"/>
      <c r="J311" s="13"/>
      <c r="L311" s="26">
        <f>Table13456781011121314151617181920212223242526272830313233[[#This Row],[الدولار]]+(Table13456781011121314151617181920212223242526272830313233[[#This Row],[اللبناني]]/90)</f>
        <v>0</v>
      </c>
      <c r="M311" s="6"/>
    </row>
    <row r="312" spans="8:13" s="8" customFormat="1" x14ac:dyDescent="0.3">
      <c r="H312" s="5" t="s">
        <v>144</v>
      </c>
      <c r="I312" s="21"/>
      <c r="J312" s="13"/>
      <c r="L312" s="26">
        <f>Table13456781011121314151617181920212223242526272830313233[[#This Row],[الدولار]]+(Table13456781011121314151617181920212223242526272830313233[[#This Row],[اللبناني]]/90)</f>
        <v>0</v>
      </c>
      <c r="M312" s="6"/>
    </row>
    <row r="313" spans="8:13" s="8" customFormat="1" x14ac:dyDescent="0.3">
      <c r="H313" s="5" t="s">
        <v>144</v>
      </c>
      <c r="I313" s="21"/>
      <c r="J313" s="13"/>
      <c r="L313" s="26">
        <f>Table13456781011121314151617181920212223242526272830313233[[#This Row],[الدولار]]+(Table13456781011121314151617181920212223242526272830313233[[#This Row],[اللبناني]]/90)</f>
        <v>0</v>
      </c>
      <c r="M313" s="6"/>
    </row>
    <row r="314" spans="8:13" s="8" customFormat="1" x14ac:dyDescent="0.3">
      <c r="H314" s="5" t="s">
        <v>144</v>
      </c>
      <c r="I314" s="21"/>
      <c r="J314" s="13"/>
      <c r="L314" s="26">
        <f>Table13456781011121314151617181920212223242526272830313233[[#This Row],[الدولار]]+(Table13456781011121314151617181920212223242526272830313233[[#This Row],[اللبناني]]/90)</f>
        <v>0</v>
      </c>
      <c r="M314" s="6"/>
    </row>
    <row r="315" spans="8:13" s="8" customFormat="1" x14ac:dyDescent="0.3">
      <c r="H315" s="5" t="s">
        <v>144</v>
      </c>
      <c r="I315" s="21"/>
      <c r="J315" s="13"/>
      <c r="L315" s="26">
        <f>Table13456781011121314151617181920212223242526272830313233[[#This Row],[الدولار]]+(Table13456781011121314151617181920212223242526272830313233[[#This Row],[اللبناني]]/90)</f>
        <v>0</v>
      </c>
      <c r="M315" s="6"/>
    </row>
    <row r="316" spans="8:13" s="8" customFormat="1" x14ac:dyDescent="0.3">
      <c r="H316" s="5" t="s">
        <v>144</v>
      </c>
      <c r="I316" s="21"/>
      <c r="J316" s="13"/>
      <c r="L316" s="26">
        <f>Table13456781011121314151617181920212223242526272830313233[[#This Row],[الدولار]]+(Table13456781011121314151617181920212223242526272830313233[[#This Row],[اللبناني]]/90)</f>
        <v>0</v>
      </c>
      <c r="M316" s="6"/>
    </row>
    <row r="317" spans="8:13" s="8" customFormat="1" x14ac:dyDescent="0.3">
      <c r="H317" s="5" t="s">
        <v>144</v>
      </c>
      <c r="I317" s="21"/>
      <c r="J317" s="13"/>
      <c r="L317" s="26">
        <f>Table13456781011121314151617181920212223242526272830313233[[#This Row],[الدولار]]+(Table13456781011121314151617181920212223242526272830313233[[#This Row],[اللبناني]]/90)</f>
        <v>0</v>
      </c>
      <c r="M317" s="6"/>
    </row>
    <row r="318" spans="8:13" s="8" customFormat="1" x14ac:dyDescent="0.3">
      <c r="H318" s="5" t="s">
        <v>144</v>
      </c>
      <c r="I318" s="21"/>
      <c r="J318" s="13"/>
      <c r="L318" s="26">
        <f>Table13456781011121314151617181920212223242526272830313233[[#This Row],[الدولار]]+(Table13456781011121314151617181920212223242526272830313233[[#This Row],[اللبناني]]/90)</f>
        <v>0</v>
      </c>
      <c r="M318" s="6"/>
    </row>
    <row r="319" spans="8:13" s="8" customFormat="1" x14ac:dyDescent="0.3">
      <c r="H319" s="5" t="s">
        <v>144</v>
      </c>
      <c r="I319" s="21"/>
      <c r="J319" s="13"/>
      <c r="L319" s="26">
        <f>Table13456781011121314151617181920212223242526272830313233[[#This Row],[الدولار]]+(Table13456781011121314151617181920212223242526272830313233[[#This Row],[اللبناني]]/90)</f>
        <v>0</v>
      </c>
      <c r="M319" s="6"/>
    </row>
    <row r="320" spans="8:13" s="8" customFormat="1" x14ac:dyDescent="0.3">
      <c r="H320" s="5" t="s">
        <v>144</v>
      </c>
      <c r="I320" s="21"/>
      <c r="J320" s="13"/>
      <c r="L320" s="26">
        <f>Table13456781011121314151617181920212223242526272830313233[[#This Row],[الدولار]]+(Table13456781011121314151617181920212223242526272830313233[[#This Row],[اللبناني]]/90)</f>
        <v>0</v>
      </c>
      <c r="M320" s="6"/>
    </row>
    <row r="321" spans="8:13" s="8" customFormat="1" x14ac:dyDescent="0.3">
      <c r="H321" s="5" t="s">
        <v>144</v>
      </c>
      <c r="I321" s="21"/>
      <c r="J321" s="13"/>
      <c r="L321" s="26">
        <f>Table13456781011121314151617181920212223242526272830313233[[#This Row],[الدولار]]+(Table13456781011121314151617181920212223242526272830313233[[#This Row],[اللبناني]]/90)</f>
        <v>0</v>
      </c>
      <c r="M321" s="6"/>
    </row>
    <row r="322" spans="8:13" s="8" customFormat="1" x14ac:dyDescent="0.3">
      <c r="H322" s="5" t="s">
        <v>144</v>
      </c>
      <c r="I322" s="21"/>
      <c r="J322" s="13"/>
      <c r="L322" s="26">
        <f>Table13456781011121314151617181920212223242526272830313233[[#This Row],[الدولار]]+(Table13456781011121314151617181920212223242526272830313233[[#This Row],[اللبناني]]/90)</f>
        <v>0</v>
      </c>
      <c r="M322" s="6"/>
    </row>
    <row r="323" spans="8:13" s="8" customFormat="1" x14ac:dyDescent="0.3">
      <c r="H323" s="5" t="s">
        <v>144</v>
      </c>
      <c r="I323" s="21"/>
      <c r="J323" s="13"/>
      <c r="L323" s="26">
        <f>Table13456781011121314151617181920212223242526272830313233[[#This Row],[الدولار]]+(Table13456781011121314151617181920212223242526272830313233[[#This Row],[اللبناني]]/90)</f>
        <v>0</v>
      </c>
      <c r="M323" s="6"/>
    </row>
    <row r="324" spans="8:13" s="8" customFormat="1" x14ac:dyDescent="0.3">
      <c r="H324" s="5" t="s">
        <v>144</v>
      </c>
      <c r="I324" s="21"/>
      <c r="J324" s="13"/>
      <c r="L324" s="26">
        <f>Table13456781011121314151617181920212223242526272830313233[[#This Row],[الدولار]]+(Table13456781011121314151617181920212223242526272830313233[[#This Row],[اللبناني]]/90)</f>
        <v>0</v>
      </c>
      <c r="M324" s="6"/>
    </row>
    <row r="325" spans="8:13" s="8" customFormat="1" x14ac:dyDescent="0.3">
      <c r="H325" s="5" t="s">
        <v>144</v>
      </c>
      <c r="I325" s="21"/>
      <c r="J325" s="13"/>
      <c r="L325" s="26">
        <f>Table13456781011121314151617181920212223242526272830313233[[#This Row],[الدولار]]+(Table13456781011121314151617181920212223242526272830313233[[#This Row],[اللبناني]]/90)</f>
        <v>0</v>
      </c>
      <c r="M325" s="6"/>
    </row>
    <row r="326" spans="8:13" s="8" customFormat="1" x14ac:dyDescent="0.3">
      <c r="H326" s="5" t="s">
        <v>144</v>
      </c>
      <c r="I326" s="21"/>
      <c r="J326" s="13"/>
      <c r="L326" s="26">
        <f>Table13456781011121314151617181920212223242526272830313233[[#This Row],[الدولار]]+(Table13456781011121314151617181920212223242526272830313233[[#This Row],[اللبناني]]/90)</f>
        <v>0</v>
      </c>
      <c r="M326" s="6"/>
    </row>
    <row r="327" spans="8:13" s="8" customFormat="1" x14ac:dyDescent="0.3">
      <c r="H327" s="5" t="s">
        <v>144</v>
      </c>
      <c r="I327" s="21"/>
      <c r="J327" s="13"/>
      <c r="L327" s="26">
        <f>Table13456781011121314151617181920212223242526272830313233[[#This Row],[الدولار]]+(Table13456781011121314151617181920212223242526272830313233[[#This Row],[اللبناني]]/90)</f>
        <v>0</v>
      </c>
      <c r="M327" s="6"/>
    </row>
    <row r="328" spans="8:13" s="8" customFormat="1" x14ac:dyDescent="0.3">
      <c r="H328" s="5" t="s">
        <v>144</v>
      </c>
      <c r="I328" s="21"/>
      <c r="J328" s="13"/>
      <c r="L328" s="26">
        <f>Table13456781011121314151617181920212223242526272830313233[[#This Row],[الدولار]]+(Table13456781011121314151617181920212223242526272830313233[[#This Row],[اللبناني]]/90)</f>
        <v>0</v>
      </c>
      <c r="M328" s="6"/>
    </row>
    <row r="329" spans="8:13" s="8" customFormat="1" x14ac:dyDescent="0.3">
      <c r="H329" s="5" t="s">
        <v>144</v>
      </c>
      <c r="I329" s="21"/>
      <c r="J329" s="13"/>
      <c r="L329" s="26">
        <f>Table13456781011121314151617181920212223242526272830313233[[#This Row],[الدولار]]+(Table13456781011121314151617181920212223242526272830313233[[#This Row],[اللبناني]]/90)</f>
        <v>0</v>
      </c>
      <c r="M329" s="6"/>
    </row>
    <row r="330" spans="8:13" s="8" customFormat="1" x14ac:dyDescent="0.3">
      <c r="H330" s="5" t="s">
        <v>144</v>
      </c>
      <c r="I330" s="21"/>
      <c r="J330" s="13"/>
      <c r="L330" s="26">
        <f>Table13456781011121314151617181920212223242526272830313233[[#This Row],[الدولار]]+(Table13456781011121314151617181920212223242526272830313233[[#This Row],[اللبناني]]/90)</f>
        <v>0</v>
      </c>
      <c r="M330" s="6"/>
    </row>
    <row r="331" spans="8:13" s="8" customFormat="1" x14ac:dyDescent="0.3">
      <c r="H331" s="5" t="s">
        <v>144</v>
      </c>
      <c r="I331" s="21"/>
      <c r="J331" s="13"/>
      <c r="L331" s="26">
        <f>Table13456781011121314151617181920212223242526272830313233[[#This Row],[الدولار]]+(Table13456781011121314151617181920212223242526272830313233[[#This Row],[اللبناني]]/90)</f>
        <v>0</v>
      </c>
      <c r="M331" s="6"/>
    </row>
    <row r="332" spans="8:13" s="8" customFormat="1" x14ac:dyDescent="0.3">
      <c r="H332" s="5" t="s">
        <v>144</v>
      </c>
      <c r="I332" s="21"/>
      <c r="J332" s="13"/>
      <c r="L332" s="26">
        <f>Table13456781011121314151617181920212223242526272830313233[[#This Row],[الدولار]]+(Table13456781011121314151617181920212223242526272830313233[[#This Row],[اللبناني]]/90)</f>
        <v>0</v>
      </c>
      <c r="M332" s="6"/>
    </row>
    <row r="333" spans="8:13" s="8" customFormat="1" x14ac:dyDescent="0.3">
      <c r="H333" s="5" t="s">
        <v>144</v>
      </c>
      <c r="I333" s="21"/>
      <c r="J333" s="13"/>
      <c r="L333" s="26">
        <f>Table13456781011121314151617181920212223242526272830313233[[#This Row],[الدولار]]+(Table13456781011121314151617181920212223242526272830313233[[#This Row],[اللبناني]]/90)</f>
        <v>0</v>
      </c>
      <c r="M333" s="6"/>
    </row>
    <row r="334" spans="8:13" s="8" customFormat="1" x14ac:dyDescent="0.3">
      <c r="H334" s="5" t="s">
        <v>144</v>
      </c>
      <c r="I334" s="21"/>
      <c r="J334" s="13"/>
      <c r="L334" s="26">
        <f>Table13456781011121314151617181920212223242526272830313233[[#This Row],[الدولار]]+(Table13456781011121314151617181920212223242526272830313233[[#This Row],[اللبناني]]/90)</f>
        <v>0</v>
      </c>
      <c r="M334" s="6"/>
    </row>
    <row r="335" spans="8:13" s="8" customFormat="1" x14ac:dyDescent="0.3">
      <c r="H335" s="5" t="s">
        <v>144</v>
      </c>
      <c r="I335" s="21"/>
      <c r="J335" s="13"/>
      <c r="L335" s="26">
        <f>Table13456781011121314151617181920212223242526272830313233[[#This Row],[الدولار]]+(Table13456781011121314151617181920212223242526272830313233[[#This Row],[اللبناني]]/90)</f>
        <v>0</v>
      </c>
      <c r="M335" s="6"/>
    </row>
    <row r="336" spans="8:13" s="8" customFormat="1" x14ac:dyDescent="0.3">
      <c r="H336" s="5" t="s">
        <v>144</v>
      </c>
      <c r="I336" s="21"/>
      <c r="J336" s="13"/>
      <c r="L336" s="26">
        <f>Table13456781011121314151617181920212223242526272830313233[[#This Row],[الدولار]]+(Table13456781011121314151617181920212223242526272830313233[[#This Row],[اللبناني]]/90)</f>
        <v>0</v>
      </c>
      <c r="M336" s="6"/>
    </row>
    <row r="337" spans="8:13" s="8" customFormat="1" x14ac:dyDescent="0.3">
      <c r="H337" s="5" t="s">
        <v>144</v>
      </c>
      <c r="I337" s="21"/>
      <c r="J337" s="13"/>
      <c r="L337" s="26">
        <f>Table13456781011121314151617181920212223242526272830313233[[#This Row],[الدولار]]+(Table13456781011121314151617181920212223242526272830313233[[#This Row],[اللبناني]]/90)</f>
        <v>0</v>
      </c>
      <c r="M337" s="6"/>
    </row>
    <row r="338" spans="8:13" s="8" customFormat="1" x14ac:dyDescent="0.3">
      <c r="H338" s="5" t="s">
        <v>144</v>
      </c>
      <c r="I338" s="21"/>
      <c r="J338" s="13"/>
      <c r="L338" s="26">
        <f>Table13456781011121314151617181920212223242526272830313233[[#This Row],[الدولار]]+(Table13456781011121314151617181920212223242526272830313233[[#This Row],[اللبناني]]/90)</f>
        <v>0</v>
      </c>
      <c r="M338" s="6"/>
    </row>
    <row r="339" spans="8:13" s="8" customFormat="1" x14ac:dyDescent="0.3">
      <c r="H339" s="5" t="s">
        <v>144</v>
      </c>
      <c r="I339" s="21"/>
      <c r="J339" s="13"/>
      <c r="L339" s="26">
        <f>Table13456781011121314151617181920212223242526272830313233[[#This Row],[الدولار]]+(Table13456781011121314151617181920212223242526272830313233[[#This Row],[اللبناني]]/90)</f>
        <v>0</v>
      </c>
      <c r="M339" s="6"/>
    </row>
    <row r="340" spans="8:13" s="8" customFormat="1" x14ac:dyDescent="0.3">
      <c r="H340" s="5" t="s">
        <v>144</v>
      </c>
      <c r="I340" s="21"/>
      <c r="J340" s="13"/>
      <c r="L340" s="26">
        <f>Table13456781011121314151617181920212223242526272830313233[[#This Row],[الدولار]]+(Table13456781011121314151617181920212223242526272830313233[[#This Row],[اللبناني]]/90)</f>
        <v>0</v>
      </c>
      <c r="M340" s="6"/>
    </row>
    <row r="341" spans="8:13" s="8" customFormat="1" x14ac:dyDescent="0.3">
      <c r="H341" s="5" t="s">
        <v>144</v>
      </c>
      <c r="I341" s="21"/>
      <c r="J341" s="13"/>
      <c r="L341" s="26">
        <f>Table13456781011121314151617181920212223242526272830313233[[#This Row],[الدولار]]+(Table13456781011121314151617181920212223242526272830313233[[#This Row],[اللبناني]]/90)</f>
        <v>0</v>
      </c>
      <c r="M341" s="6"/>
    </row>
    <row r="342" spans="8:13" s="8" customFormat="1" x14ac:dyDescent="0.3">
      <c r="H342" s="5" t="s">
        <v>144</v>
      </c>
      <c r="I342" s="21"/>
      <c r="J342" s="13"/>
      <c r="L342" s="26">
        <f>Table13456781011121314151617181920212223242526272830313233[[#This Row],[الدولار]]+(Table13456781011121314151617181920212223242526272830313233[[#This Row],[اللبناني]]/90)</f>
        <v>0</v>
      </c>
      <c r="M342" s="6"/>
    </row>
    <row r="343" spans="8:13" s="8" customFormat="1" x14ac:dyDescent="0.3">
      <c r="H343" s="5" t="s">
        <v>144</v>
      </c>
      <c r="I343" s="21"/>
      <c r="J343" s="13"/>
      <c r="L343" s="26">
        <f>Table13456781011121314151617181920212223242526272830313233[[#This Row],[الدولار]]+(Table13456781011121314151617181920212223242526272830313233[[#This Row],[اللبناني]]/90)</f>
        <v>0</v>
      </c>
      <c r="M343" s="6"/>
    </row>
    <row r="344" spans="8:13" s="8" customFormat="1" x14ac:dyDescent="0.3">
      <c r="H344" s="5" t="s">
        <v>144</v>
      </c>
      <c r="I344" s="21"/>
      <c r="J344" s="13"/>
      <c r="L344" s="26">
        <f>Table13456781011121314151617181920212223242526272830313233[[#This Row],[الدولار]]+(Table13456781011121314151617181920212223242526272830313233[[#This Row],[اللبناني]]/90)</f>
        <v>0</v>
      </c>
      <c r="M344" s="6"/>
    </row>
    <row r="345" spans="8:13" s="8" customFormat="1" x14ac:dyDescent="0.3">
      <c r="H345" s="5" t="s">
        <v>144</v>
      </c>
      <c r="I345" s="21"/>
      <c r="J345" s="13"/>
      <c r="L345" s="26">
        <f>Table13456781011121314151617181920212223242526272830313233[[#This Row],[الدولار]]+(Table13456781011121314151617181920212223242526272830313233[[#This Row],[اللبناني]]/90)</f>
        <v>0</v>
      </c>
      <c r="M345" s="6"/>
    </row>
    <row r="346" spans="8:13" s="8" customFormat="1" x14ac:dyDescent="0.3">
      <c r="H346" s="5" t="s">
        <v>144</v>
      </c>
      <c r="I346" s="21"/>
      <c r="J346" s="13"/>
      <c r="L346" s="26">
        <f>Table13456781011121314151617181920212223242526272830313233[[#This Row],[الدولار]]+(Table13456781011121314151617181920212223242526272830313233[[#This Row],[اللبناني]]/90)</f>
        <v>0</v>
      </c>
      <c r="M346" s="6"/>
    </row>
    <row r="347" spans="8:13" s="8" customFormat="1" x14ac:dyDescent="0.3">
      <c r="H347" s="5" t="s">
        <v>144</v>
      </c>
      <c r="I347" s="21"/>
      <c r="J347" s="13"/>
      <c r="L347" s="26">
        <f>Table13456781011121314151617181920212223242526272830313233[[#This Row],[الدولار]]+(Table13456781011121314151617181920212223242526272830313233[[#This Row],[اللبناني]]/90)</f>
        <v>0</v>
      </c>
      <c r="M347" s="6"/>
    </row>
    <row r="348" spans="8:13" s="8" customFormat="1" x14ac:dyDescent="0.3">
      <c r="H348" s="5" t="s">
        <v>144</v>
      </c>
      <c r="I348" s="21"/>
      <c r="J348" s="13"/>
      <c r="L348" s="26">
        <f>Table13456781011121314151617181920212223242526272830313233[[#This Row],[الدولار]]+(Table13456781011121314151617181920212223242526272830313233[[#This Row],[اللبناني]]/90)</f>
        <v>0</v>
      </c>
      <c r="M348" s="6"/>
    </row>
    <row r="349" spans="8:13" s="8" customFormat="1" x14ac:dyDescent="0.3">
      <c r="H349" s="5" t="s">
        <v>144</v>
      </c>
      <c r="I349" s="21"/>
      <c r="J349" s="13"/>
      <c r="L349" s="26">
        <f>Table13456781011121314151617181920212223242526272830313233[[#This Row],[الدولار]]+(Table13456781011121314151617181920212223242526272830313233[[#This Row],[اللبناني]]/90)</f>
        <v>0</v>
      </c>
      <c r="M349" s="6"/>
    </row>
    <row r="350" spans="8:13" s="8" customFormat="1" x14ac:dyDescent="0.3">
      <c r="H350" s="5" t="s">
        <v>144</v>
      </c>
      <c r="I350" s="21"/>
      <c r="J350" s="13"/>
      <c r="L350" s="26">
        <f>Table13456781011121314151617181920212223242526272830313233[[#This Row],[الدولار]]+(Table13456781011121314151617181920212223242526272830313233[[#This Row],[اللبناني]]/90)</f>
        <v>0</v>
      </c>
      <c r="M350" s="6"/>
    </row>
    <row r="351" spans="8:13" s="8" customFormat="1" x14ac:dyDescent="0.3">
      <c r="H351" s="5" t="s">
        <v>144</v>
      </c>
      <c r="I351" s="21"/>
      <c r="J351" s="13"/>
      <c r="L351" s="26">
        <f>Table13456781011121314151617181920212223242526272830313233[[#This Row],[الدولار]]+(Table13456781011121314151617181920212223242526272830313233[[#This Row],[اللبناني]]/90)</f>
        <v>0</v>
      </c>
      <c r="M351" s="6"/>
    </row>
    <row r="352" spans="8:13" s="8" customFormat="1" x14ac:dyDescent="0.3">
      <c r="H352" s="5" t="s">
        <v>144</v>
      </c>
      <c r="I352" s="21"/>
      <c r="J352" s="13"/>
      <c r="L352" s="26">
        <f>Table13456781011121314151617181920212223242526272830313233[[#This Row],[الدولار]]+(Table13456781011121314151617181920212223242526272830313233[[#This Row],[اللبناني]]/90)</f>
        <v>0</v>
      </c>
      <c r="M352" s="6"/>
    </row>
    <row r="353" spans="8:13" s="8" customFormat="1" x14ac:dyDescent="0.3">
      <c r="H353" s="5" t="s">
        <v>144</v>
      </c>
      <c r="I353" s="21"/>
      <c r="J353" s="13"/>
      <c r="L353" s="26">
        <f>Table13456781011121314151617181920212223242526272830313233[[#This Row],[الدولار]]+(Table13456781011121314151617181920212223242526272830313233[[#This Row],[اللبناني]]/90)</f>
        <v>0</v>
      </c>
      <c r="M353" s="6"/>
    </row>
    <row r="354" spans="8:13" s="8" customFormat="1" x14ac:dyDescent="0.3">
      <c r="H354" s="5" t="s">
        <v>144</v>
      </c>
      <c r="I354" s="21"/>
      <c r="J354" s="13"/>
      <c r="L354" s="26">
        <f>Table13456781011121314151617181920212223242526272830313233[[#This Row],[الدولار]]+(Table13456781011121314151617181920212223242526272830313233[[#This Row],[اللبناني]]/90)</f>
        <v>0</v>
      </c>
      <c r="M354" s="6"/>
    </row>
    <row r="355" spans="8:13" s="8" customFormat="1" x14ac:dyDescent="0.3">
      <c r="H355" s="5" t="s">
        <v>144</v>
      </c>
      <c r="I355" s="21"/>
      <c r="J355" s="13"/>
      <c r="L355" s="26">
        <f>Table13456781011121314151617181920212223242526272830313233[[#This Row],[الدولار]]+(Table13456781011121314151617181920212223242526272830313233[[#This Row],[اللبناني]]/90)</f>
        <v>0</v>
      </c>
      <c r="M355" s="6"/>
    </row>
    <row r="356" spans="8:13" s="8" customFormat="1" x14ac:dyDescent="0.3">
      <c r="H356" s="5" t="s">
        <v>144</v>
      </c>
      <c r="I356" s="21"/>
      <c r="J356" s="13"/>
      <c r="L356" s="26">
        <f>Table13456781011121314151617181920212223242526272830313233[[#This Row],[الدولار]]+(Table13456781011121314151617181920212223242526272830313233[[#This Row],[اللبناني]]/90)</f>
        <v>0</v>
      </c>
      <c r="M356" s="6"/>
    </row>
    <row r="357" spans="8:13" s="8" customFormat="1" x14ac:dyDescent="0.3">
      <c r="H357" s="5" t="s">
        <v>144</v>
      </c>
      <c r="I357" s="21"/>
      <c r="J357" s="13"/>
      <c r="L357" s="26">
        <f>Table13456781011121314151617181920212223242526272830313233[[#This Row],[الدولار]]+(Table13456781011121314151617181920212223242526272830313233[[#This Row],[اللبناني]]/90)</f>
        <v>0</v>
      </c>
      <c r="M357" s="6"/>
    </row>
    <row r="358" spans="8:13" s="8" customFormat="1" x14ac:dyDescent="0.3">
      <c r="H358" s="5" t="s">
        <v>144</v>
      </c>
      <c r="I358" s="21"/>
      <c r="J358" s="13"/>
      <c r="L358" s="26">
        <f>Table13456781011121314151617181920212223242526272830313233[[#This Row],[الدولار]]+(Table13456781011121314151617181920212223242526272830313233[[#This Row],[اللبناني]]/90)</f>
        <v>0</v>
      </c>
      <c r="M358" s="6"/>
    </row>
    <row r="359" spans="8:13" s="8" customFormat="1" x14ac:dyDescent="0.3">
      <c r="H359" s="5" t="s">
        <v>144</v>
      </c>
      <c r="I359" s="21"/>
      <c r="J359" s="13"/>
      <c r="L359" s="26">
        <f>Table13456781011121314151617181920212223242526272830313233[[#This Row],[الدولار]]+(Table13456781011121314151617181920212223242526272830313233[[#This Row],[اللبناني]]/90)</f>
        <v>0</v>
      </c>
      <c r="M359" s="6"/>
    </row>
    <row r="360" spans="8:13" s="8" customFormat="1" x14ac:dyDescent="0.3">
      <c r="H360" s="5" t="s">
        <v>144</v>
      </c>
      <c r="I360" s="21"/>
      <c r="J360" s="13"/>
      <c r="L360" s="26">
        <f>Table13456781011121314151617181920212223242526272830313233[[#This Row],[الدولار]]+(Table13456781011121314151617181920212223242526272830313233[[#This Row],[اللبناني]]/90)</f>
        <v>0</v>
      </c>
      <c r="M360" s="6"/>
    </row>
    <row r="361" spans="8:13" s="8" customFormat="1" x14ac:dyDescent="0.3">
      <c r="H361" s="5" t="s">
        <v>144</v>
      </c>
      <c r="I361" s="21"/>
      <c r="J361" s="13"/>
      <c r="L361" s="26">
        <f>Table13456781011121314151617181920212223242526272830313233[[#This Row],[الدولار]]+(Table13456781011121314151617181920212223242526272830313233[[#This Row],[اللبناني]]/90)</f>
        <v>0</v>
      </c>
      <c r="M361" s="6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.3" footer="0.3"/>
  <pageSetup paperSize="9" scale="65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42F5-5183-426A-A8A7-16CDA34DAE0D}">
  <sheetPr>
    <pageSetUpPr fitToPage="1"/>
  </sheetPr>
  <dimension ref="A1:S361"/>
  <sheetViews>
    <sheetView rightToLeft="1" tabSelected="1" zoomScale="115" zoomScaleNormal="115" workbookViewId="0">
      <selection activeCell="I42" sqref="I42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8.44140625" style="2" bestFit="1" customWidth="1"/>
    <col min="4" max="4" width="10.44140625" style="2" customWidth="1"/>
    <col min="5" max="5" width="7" style="2" customWidth="1"/>
    <col min="6" max="6" width="11.44140625" style="2" bestFit="1" customWidth="1"/>
    <col min="7" max="7" width="2.44140625" style="2" customWidth="1"/>
    <col min="8" max="8" width="8.88671875" style="2" bestFit="1" customWidth="1"/>
    <col min="9" max="9" width="17.88671875" style="21" customWidth="1"/>
    <col min="10" max="10" width="12.109375" style="7" bestFit="1" customWidth="1"/>
    <col min="11" max="11" width="8.5546875" style="8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1.109375" style="2" bestFit="1" customWidth="1"/>
    <col min="20" max="16384" width="8.88671875" style="2"/>
  </cols>
  <sheetData>
    <row r="1" spans="1:19" x14ac:dyDescent="0.3">
      <c r="I1" s="21" t="s">
        <v>22</v>
      </c>
      <c r="J1" s="7">
        <f>SUM(J3:J18)</f>
        <v>-220</v>
      </c>
      <c r="K1" s="7">
        <f>SUM(K3:K18)</f>
        <v>40</v>
      </c>
      <c r="L1" s="7">
        <f>SUM(L3:L18)</f>
        <v>37.555555555555557</v>
      </c>
    </row>
    <row r="2" spans="1:19" x14ac:dyDescent="0.3">
      <c r="H2" s="2" t="s">
        <v>136</v>
      </c>
      <c r="I2" s="22" t="s">
        <v>6</v>
      </c>
      <c r="J2" s="3" t="s">
        <v>5</v>
      </c>
      <c r="K2" s="9" t="s">
        <v>4</v>
      </c>
      <c r="L2" s="9" t="s">
        <v>125</v>
      </c>
    </row>
    <row r="3" spans="1:19" x14ac:dyDescent="0.3">
      <c r="H3" s="5" t="s">
        <v>144</v>
      </c>
      <c r="I3" s="23" t="s">
        <v>10</v>
      </c>
      <c r="J3" s="15">
        <v>100</v>
      </c>
      <c r="L3" s="26">
        <f t="shared" ref="L3:L18" si="0">K3+(J3/90)</f>
        <v>1.1111111111111112</v>
      </c>
    </row>
    <row r="4" spans="1:19" x14ac:dyDescent="0.3">
      <c r="H4" s="5" t="s">
        <v>144</v>
      </c>
      <c r="I4" s="23" t="s">
        <v>330</v>
      </c>
      <c r="J4" s="15">
        <v>200</v>
      </c>
      <c r="L4" s="26">
        <f t="shared" si="0"/>
        <v>2.2222222222222223</v>
      </c>
    </row>
    <row r="5" spans="1:19" x14ac:dyDescent="0.3">
      <c r="H5" s="5" t="s">
        <v>144</v>
      </c>
      <c r="I5" s="23" t="s">
        <v>331</v>
      </c>
      <c r="J5" s="15">
        <v>350</v>
      </c>
      <c r="L5" s="26">
        <f t="shared" si="0"/>
        <v>3.8888888888888888</v>
      </c>
    </row>
    <row r="6" spans="1:19" x14ac:dyDescent="0.3">
      <c r="H6" s="5" t="s">
        <v>145</v>
      </c>
      <c r="I6" s="23" t="s">
        <v>151</v>
      </c>
      <c r="J6" s="15">
        <v>-300</v>
      </c>
      <c r="L6" s="26">
        <f t="shared" si="0"/>
        <v>-3.3333333333333335</v>
      </c>
    </row>
    <row r="7" spans="1:19" x14ac:dyDescent="0.3">
      <c r="H7" s="5" t="s">
        <v>144</v>
      </c>
      <c r="I7" s="23" t="s">
        <v>332</v>
      </c>
      <c r="J7" s="15"/>
      <c r="K7" s="8">
        <v>5</v>
      </c>
      <c r="L7" s="26">
        <f t="shared" si="0"/>
        <v>5</v>
      </c>
    </row>
    <row r="8" spans="1:19" x14ac:dyDescent="0.3">
      <c r="H8" s="5" t="s">
        <v>144</v>
      </c>
      <c r="I8" s="23" t="s">
        <v>333</v>
      </c>
      <c r="J8" s="15">
        <v>-400</v>
      </c>
      <c r="K8" s="8">
        <v>35</v>
      </c>
      <c r="L8" s="26">
        <f t="shared" si="0"/>
        <v>30.555555555555557</v>
      </c>
    </row>
    <row r="9" spans="1:19" x14ac:dyDescent="0.3">
      <c r="H9" s="5" t="s">
        <v>144</v>
      </c>
      <c r="I9" s="23" t="s">
        <v>37</v>
      </c>
      <c r="J9" s="15">
        <v>-170</v>
      </c>
      <c r="L9" s="26">
        <f t="shared" si="0"/>
        <v>-1.8888888888888888</v>
      </c>
    </row>
    <row r="10" spans="1:19" x14ac:dyDescent="0.3">
      <c r="H10" s="5" t="s">
        <v>144</v>
      </c>
      <c r="I10" s="23"/>
      <c r="J10" s="15"/>
      <c r="L10" s="26">
        <f t="shared" si="0"/>
        <v>0</v>
      </c>
    </row>
    <row r="11" spans="1:19" s="6" customFormat="1" x14ac:dyDescent="0.3">
      <c r="A11" s="2"/>
      <c r="B11" s="2"/>
      <c r="C11" s="2"/>
      <c r="D11" s="2"/>
      <c r="E11" s="2"/>
      <c r="F11" s="2"/>
      <c r="G11" s="2"/>
      <c r="H11" s="5" t="s">
        <v>144</v>
      </c>
      <c r="I11" s="24"/>
      <c r="J11" s="15"/>
      <c r="K11" s="8"/>
      <c r="L11" s="26">
        <f t="shared" si="0"/>
        <v>0</v>
      </c>
      <c r="N11" s="2"/>
      <c r="O11" s="2"/>
      <c r="P11" s="2"/>
      <c r="Q11" s="2"/>
      <c r="R11" s="2"/>
      <c r="S11" s="2"/>
    </row>
    <row r="12" spans="1:19" s="6" customFormat="1" x14ac:dyDescent="0.3">
      <c r="A12" s="2"/>
      <c r="B12" s="2"/>
      <c r="C12" s="2"/>
      <c r="D12" s="2"/>
      <c r="E12" s="2"/>
      <c r="F12" s="2"/>
      <c r="G12" s="2"/>
      <c r="H12" s="5" t="s">
        <v>144</v>
      </c>
      <c r="I12" s="23"/>
      <c r="J12" s="15"/>
      <c r="K12" s="8"/>
      <c r="L12" s="26">
        <f t="shared" si="0"/>
        <v>0</v>
      </c>
      <c r="N12" s="2"/>
      <c r="O12" s="2"/>
      <c r="P12" s="2"/>
      <c r="Q12" s="2"/>
      <c r="R12" s="2"/>
      <c r="S12" s="2"/>
    </row>
    <row r="13" spans="1:19" s="6" customFormat="1" x14ac:dyDescent="0.3">
      <c r="A13" s="2"/>
      <c r="B13" s="2"/>
      <c r="C13" s="2"/>
      <c r="D13" s="2"/>
      <c r="E13" s="2"/>
      <c r="F13" s="2"/>
      <c r="G13" s="2"/>
      <c r="H13" s="5" t="s">
        <v>144</v>
      </c>
      <c r="I13" s="23"/>
      <c r="J13" s="15"/>
      <c r="K13" s="8"/>
      <c r="L13" s="26">
        <f t="shared" si="0"/>
        <v>0</v>
      </c>
      <c r="N13" s="2"/>
      <c r="O13" s="2"/>
      <c r="P13" s="2"/>
      <c r="Q13" s="2"/>
      <c r="R13" s="2"/>
      <c r="S13" s="2"/>
    </row>
    <row r="14" spans="1:19" s="6" customFormat="1" x14ac:dyDescent="0.3">
      <c r="A14" s="2"/>
      <c r="B14" s="2"/>
      <c r="C14" s="2"/>
      <c r="D14" s="2"/>
      <c r="E14" s="2"/>
      <c r="F14" s="2"/>
      <c r="G14" s="2"/>
      <c r="H14" s="5" t="s">
        <v>144</v>
      </c>
      <c r="I14" s="23"/>
      <c r="J14" s="15"/>
      <c r="K14" s="8"/>
      <c r="L14" s="26">
        <f t="shared" si="0"/>
        <v>0</v>
      </c>
      <c r="N14" s="2"/>
      <c r="O14" s="2"/>
      <c r="P14" s="2"/>
      <c r="Q14" s="2"/>
      <c r="R14" s="2"/>
      <c r="S14" s="2"/>
    </row>
    <row r="15" spans="1:19" s="6" customFormat="1" x14ac:dyDescent="0.3">
      <c r="A15" s="2"/>
      <c r="B15" s="2"/>
      <c r="C15" s="2"/>
      <c r="D15" s="2"/>
      <c r="E15" s="2"/>
      <c r="F15" s="2"/>
      <c r="G15" s="2"/>
      <c r="H15" s="5" t="s">
        <v>144</v>
      </c>
      <c r="I15" s="23"/>
      <c r="J15" s="15"/>
      <c r="K15" s="8"/>
      <c r="L15" s="26">
        <f t="shared" si="0"/>
        <v>0</v>
      </c>
      <c r="N15" s="2"/>
      <c r="O15" s="2"/>
      <c r="P15" s="2"/>
      <c r="Q15" s="2"/>
      <c r="R15" s="2"/>
      <c r="S15" s="2"/>
    </row>
    <row r="16" spans="1:19" s="6" customFormat="1" x14ac:dyDescent="0.3">
      <c r="A16" s="2"/>
      <c r="B16" s="2"/>
      <c r="C16" s="2"/>
      <c r="D16" s="2"/>
      <c r="E16" s="2"/>
      <c r="F16" s="2"/>
      <c r="G16" s="2"/>
      <c r="H16" s="5" t="s">
        <v>144</v>
      </c>
      <c r="I16" s="23"/>
      <c r="J16" s="15"/>
      <c r="K16" s="8"/>
      <c r="L16" s="26">
        <f t="shared" si="0"/>
        <v>0</v>
      </c>
      <c r="N16" s="2"/>
      <c r="O16" s="2"/>
      <c r="P16" s="2"/>
      <c r="Q16" s="2"/>
      <c r="R16" s="2"/>
      <c r="S16" s="2"/>
    </row>
    <row r="17" spans="1:19" s="6" customFormat="1" x14ac:dyDescent="0.3">
      <c r="A17" s="2"/>
      <c r="B17" s="2"/>
      <c r="C17" s="2"/>
      <c r="D17" s="2"/>
      <c r="E17" s="2"/>
      <c r="F17" s="2"/>
      <c r="G17" s="2"/>
      <c r="H17" s="5" t="s">
        <v>144</v>
      </c>
      <c r="I17" s="23"/>
      <c r="J17" s="15"/>
      <c r="K17" s="8"/>
      <c r="L17" s="26">
        <f t="shared" si="0"/>
        <v>0</v>
      </c>
      <c r="N17" s="2"/>
      <c r="O17" s="2"/>
      <c r="P17" s="2"/>
      <c r="Q17" s="2"/>
      <c r="R17" s="2"/>
      <c r="S17" s="2"/>
    </row>
    <row r="18" spans="1:19" s="6" customFormat="1" x14ac:dyDescent="0.3">
      <c r="A18" s="2" t="s">
        <v>240</v>
      </c>
      <c r="B18" s="2"/>
      <c r="C18" s="2"/>
      <c r="D18" s="2"/>
      <c r="E18" s="2"/>
      <c r="F18" s="2"/>
      <c r="G18" s="2"/>
      <c r="H18" s="5" t="s">
        <v>144</v>
      </c>
      <c r="I18" s="23"/>
      <c r="J18" s="15"/>
      <c r="K18" s="8"/>
      <c r="L18" s="26">
        <f t="shared" si="0"/>
        <v>0</v>
      </c>
      <c r="N18" s="2"/>
      <c r="O18" s="2"/>
      <c r="P18" s="2"/>
      <c r="Q18" s="2"/>
      <c r="R18" s="2"/>
      <c r="S18" s="2"/>
    </row>
    <row r="19" spans="1:19" s="6" customFormat="1" x14ac:dyDescent="0.3">
      <c r="A19" s="31" t="s">
        <v>328</v>
      </c>
      <c r="B19" s="2"/>
      <c r="C19" s="2"/>
      <c r="D19" s="2"/>
      <c r="E19" s="2"/>
      <c r="F19" s="2"/>
      <c r="G19" s="2"/>
      <c r="H19" s="2"/>
      <c r="I19" s="21"/>
      <c r="J19" s="7"/>
      <c r="K19" s="8"/>
      <c r="N19" s="2"/>
      <c r="O19" s="2"/>
      <c r="P19" s="2"/>
      <c r="Q19" s="2"/>
      <c r="R19" s="2"/>
      <c r="S19" s="2"/>
    </row>
    <row r="20" spans="1:19" x14ac:dyDescent="0.3">
      <c r="A20" s="48" t="s">
        <v>19</v>
      </c>
      <c r="B20" s="48"/>
      <c r="C20" s="48"/>
      <c r="D20" s="48"/>
      <c r="E20" s="48"/>
      <c r="F20" s="48"/>
      <c r="I20" s="21" t="s">
        <v>22</v>
      </c>
      <c r="J20" s="7">
        <f>SUM(Table1345678101112131415161718192021222324252627283031323334[اللبناني])</f>
        <v>1300</v>
      </c>
      <c r="K20" s="7">
        <f>SUM(Table1345678101112131415161718192021222324252627283031323334[الدولار])</f>
        <v>261</v>
      </c>
      <c r="L20" s="7">
        <f>SUM(Table1345678101112131415161718192021222324252627283031323334[مبيع $])</f>
        <v>275.44444444444451</v>
      </c>
      <c r="N20" s="48" t="s">
        <v>21</v>
      </c>
      <c r="O20" s="48"/>
      <c r="P20" s="48"/>
      <c r="Q20" s="48"/>
      <c r="R20" s="48"/>
      <c r="S20" s="48"/>
    </row>
    <row r="21" spans="1:19" x14ac:dyDescent="0.3">
      <c r="A21" s="1" t="s">
        <v>2</v>
      </c>
      <c r="B21" s="1" t="s">
        <v>0</v>
      </c>
      <c r="C21" s="1" t="s">
        <v>1</v>
      </c>
      <c r="D21" s="1" t="s">
        <v>3</v>
      </c>
      <c r="E21" s="1" t="s">
        <v>0</v>
      </c>
      <c r="F21" s="1" t="s">
        <v>1</v>
      </c>
      <c r="H21" s="2" t="s">
        <v>136</v>
      </c>
      <c r="I21" s="22" t="s">
        <v>6</v>
      </c>
      <c r="J21" s="3" t="s">
        <v>5</v>
      </c>
      <c r="K21" s="9" t="s">
        <v>4</v>
      </c>
      <c r="L21" s="9" t="s">
        <v>125</v>
      </c>
      <c r="M21" s="2"/>
      <c r="N21" s="1" t="s">
        <v>2</v>
      </c>
      <c r="O21" s="1" t="s">
        <v>0</v>
      </c>
      <c r="P21" s="1" t="s">
        <v>1</v>
      </c>
      <c r="Q21" s="1" t="s">
        <v>3</v>
      </c>
      <c r="R21" s="1" t="s">
        <v>0</v>
      </c>
      <c r="S21" s="1" t="s">
        <v>1</v>
      </c>
    </row>
    <row r="22" spans="1:19" x14ac:dyDescent="0.3">
      <c r="A22" s="11">
        <v>1</v>
      </c>
      <c r="B22" s="2">
        <v>1</v>
      </c>
      <c r="C22" s="16">
        <f>A22*B22</f>
        <v>1</v>
      </c>
      <c r="D22" s="12">
        <v>5</v>
      </c>
      <c r="E22" s="2">
        <v>34</v>
      </c>
      <c r="F22" s="18">
        <f>D22*E22</f>
        <v>170</v>
      </c>
      <c r="G22" s="5"/>
      <c r="H22" s="5" t="s">
        <v>144</v>
      </c>
      <c r="I22" s="23" t="s">
        <v>329</v>
      </c>
      <c r="J22" s="15"/>
      <c r="K22" s="8">
        <v>60</v>
      </c>
      <c r="L22" s="26">
        <f>Table1345678101112131415161718192021222324252627283031323334[[#This Row],[الدولار]]+(Table1345678101112131415161718192021222324252627283031323334[[#This Row],[اللبناني]]/90)</f>
        <v>60</v>
      </c>
      <c r="N22" s="11">
        <v>1</v>
      </c>
      <c r="P22" s="16">
        <f>N22*O22</f>
        <v>0</v>
      </c>
      <c r="Q22" s="12">
        <v>5</v>
      </c>
      <c r="S22" s="18">
        <f>Q22*R22</f>
        <v>0</v>
      </c>
    </row>
    <row r="23" spans="1:19" x14ac:dyDescent="0.3">
      <c r="A23" s="11">
        <v>5</v>
      </c>
      <c r="B23" s="2">
        <v>3</v>
      </c>
      <c r="C23" s="16">
        <f t="shared" ref="C23:C27" si="1">A23*B23</f>
        <v>15</v>
      </c>
      <c r="D23" s="12">
        <v>10</v>
      </c>
      <c r="E23" s="2">
        <v>24</v>
      </c>
      <c r="F23" s="18">
        <f t="shared" ref="F23:F26" si="2">D23*E23</f>
        <v>240</v>
      </c>
      <c r="G23" s="5"/>
      <c r="H23" s="5" t="s">
        <v>146</v>
      </c>
      <c r="I23" s="23" t="s">
        <v>334</v>
      </c>
      <c r="J23" s="15"/>
      <c r="K23" s="8">
        <v>-20</v>
      </c>
      <c r="L23" s="26">
        <f>Table1345678101112131415161718192021222324252627283031323334[[#This Row],[الدولار]]+(Table1345678101112131415161718192021222324252627283031323334[[#This Row],[اللبناني]]/90)</f>
        <v>-20</v>
      </c>
      <c r="N23" s="11">
        <v>5</v>
      </c>
      <c r="P23" s="16">
        <f t="shared" ref="P23:P27" si="3">N23*O23</f>
        <v>0</v>
      </c>
      <c r="Q23" s="12">
        <v>10</v>
      </c>
      <c r="S23" s="18">
        <f t="shared" ref="S23:S26" si="4">Q23*R23</f>
        <v>0</v>
      </c>
    </row>
    <row r="24" spans="1:19" x14ac:dyDescent="0.3">
      <c r="A24" s="11">
        <v>10</v>
      </c>
      <c r="B24" s="2">
        <v>30</v>
      </c>
      <c r="C24" s="16">
        <f t="shared" si="1"/>
        <v>300</v>
      </c>
      <c r="D24" s="12">
        <v>20</v>
      </c>
      <c r="E24" s="2">
        <v>17</v>
      </c>
      <c r="F24" s="18">
        <f t="shared" si="2"/>
        <v>340</v>
      </c>
      <c r="G24" s="5"/>
      <c r="H24" s="5" t="s">
        <v>144</v>
      </c>
      <c r="I24" s="23" t="s">
        <v>173</v>
      </c>
      <c r="J24" s="15"/>
      <c r="K24" s="8">
        <v>10</v>
      </c>
      <c r="L24" s="26">
        <f>Table1345678101112131415161718192021222324252627283031323334[[#This Row],[الدولار]]+(Table1345678101112131415161718192021222324252627283031323334[[#This Row],[اللبناني]]/90)</f>
        <v>10</v>
      </c>
      <c r="N24" s="11">
        <v>10</v>
      </c>
      <c r="P24" s="16">
        <f t="shared" si="3"/>
        <v>0</v>
      </c>
      <c r="Q24" s="12">
        <v>20</v>
      </c>
      <c r="S24" s="18">
        <f t="shared" si="4"/>
        <v>0</v>
      </c>
    </row>
    <row r="25" spans="1:19" x14ac:dyDescent="0.3">
      <c r="A25" s="11">
        <v>20</v>
      </c>
      <c r="B25" s="2">
        <v>37</v>
      </c>
      <c r="C25" s="16">
        <f t="shared" si="1"/>
        <v>740</v>
      </c>
      <c r="D25" s="12">
        <v>50</v>
      </c>
      <c r="E25" s="2">
        <v>2</v>
      </c>
      <c r="F25" s="18">
        <f t="shared" si="2"/>
        <v>100</v>
      </c>
      <c r="G25" s="5"/>
      <c r="H25" s="5" t="s">
        <v>144</v>
      </c>
      <c r="I25" s="23" t="s">
        <v>336</v>
      </c>
      <c r="J25" s="15"/>
      <c r="K25" s="8">
        <v>69</v>
      </c>
      <c r="L25" s="26">
        <f>Table1345678101112131415161718192021222324252627283031323334[[#This Row],[الدولار]]+(Table1345678101112131415161718192021222324252627283031323334[[#This Row],[اللبناني]]/90)</f>
        <v>69</v>
      </c>
      <c r="N25" s="11">
        <v>20</v>
      </c>
      <c r="P25" s="16">
        <f t="shared" si="3"/>
        <v>0</v>
      </c>
      <c r="Q25" s="12">
        <v>50</v>
      </c>
      <c r="S25" s="18">
        <f t="shared" si="4"/>
        <v>0</v>
      </c>
    </row>
    <row r="26" spans="1:19" x14ac:dyDescent="0.3">
      <c r="A26" s="11">
        <v>50</v>
      </c>
      <c r="B26" s="2">
        <v>2</v>
      </c>
      <c r="C26" s="16">
        <f t="shared" si="1"/>
        <v>100</v>
      </c>
      <c r="D26" s="12">
        <v>100</v>
      </c>
      <c r="E26" s="2">
        <v>41</v>
      </c>
      <c r="F26" s="18">
        <f t="shared" si="2"/>
        <v>4100</v>
      </c>
      <c r="G26" s="5"/>
      <c r="H26" s="5" t="s">
        <v>144</v>
      </c>
      <c r="I26" s="24" t="s">
        <v>25</v>
      </c>
      <c r="J26" s="15"/>
      <c r="K26" s="8">
        <v>83</v>
      </c>
      <c r="L26" s="26">
        <f>Table1345678101112131415161718192021222324252627283031323334[[#This Row],[الدولار]]+(Table1345678101112131415161718192021222324252627283031323334[[#This Row],[اللبناني]]/90)</f>
        <v>83</v>
      </c>
      <c r="N26" s="11">
        <v>50</v>
      </c>
      <c r="P26" s="16">
        <f t="shared" si="3"/>
        <v>0</v>
      </c>
      <c r="Q26" s="12">
        <v>100</v>
      </c>
      <c r="S26" s="18">
        <f t="shared" si="4"/>
        <v>0</v>
      </c>
    </row>
    <row r="27" spans="1:19" x14ac:dyDescent="0.3">
      <c r="A27" s="11">
        <v>100</v>
      </c>
      <c r="C27" s="16">
        <f t="shared" si="1"/>
        <v>0</v>
      </c>
      <c r="D27" s="1" t="s">
        <v>1</v>
      </c>
      <c r="E27" s="1"/>
      <c r="F27" s="14">
        <f>SUM(F22:F26)</f>
        <v>4950</v>
      </c>
      <c r="G27" s="5"/>
      <c r="H27" s="5" t="s">
        <v>144</v>
      </c>
      <c r="I27" s="23" t="s">
        <v>16</v>
      </c>
      <c r="J27" s="15">
        <v>100</v>
      </c>
      <c r="L27" s="26">
        <f>Table1345678101112131415161718192021222324252627283031323334[[#This Row],[الدولار]]+(Table1345678101112131415161718192021222324252627283031323334[[#This Row],[اللبناني]]/90)</f>
        <v>1.1111111111111112</v>
      </c>
      <c r="N27" s="11">
        <v>100</v>
      </c>
      <c r="P27" s="16">
        <f t="shared" si="3"/>
        <v>0</v>
      </c>
      <c r="Q27" s="1" t="s">
        <v>1</v>
      </c>
      <c r="R27" s="1"/>
      <c r="S27" s="14">
        <f>SUM(S22:S26)</f>
        <v>0</v>
      </c>
    </row>
    <row r="28" spans="1:19" x14ac:dyDescent="0.3">
      <c r="A28" s="1" t="s">
        <v>1</v>
      </c>
      <c r="B28" s="1"/>
      <c r="C28" s="17">
        <f>SUM(C22:C27)</f>
        <v>1156</v>
      </c>
      <c r="H28" s="5" t="s">
        <v>144</v>
      </c>
      <c r="I28" s="23" t="s">
        <v>354</v>
      </c>
      <c r="J28" s="15">
        <v>200</v>
      </c>
      <c r="L28" s="26">
        <f>Table1345678101112131415161718192021222324252627283031323334[[#This Row],[الدولار]]+(Table1345678101112131415161718192021222324252627283031323334[[#This Row],[اللبناني]]/90)</f>
        <v>2.2222222222222223</v>
      </c>
      <c r="N28" s="1" t="s">
        <v>1</v>
      </c>
      <c r="O28" s="1"/>
      <c r="P28" s="17">
        <f>SUM(P22:P27)</f>
        <v>0</v>
      </c>
      <c r="S28" s="15"/>
    </row>
    <row r="29" spans="1:19" x14ac:dyDescent="0.3">
      <c r="B29" s="2">
        <v>0</v>
      </c>
      <c r="C29" s="20"/>
      <c r="D29" s="47" t="s">
        <v>24</v>
      </c>
      <c r="E29" s="47"/>
      <c r="F29" s="19">
        <f ca="1">INDIRECT("'"&amp;$A$19&amp;"'!J20")+J1</f>
        <v>-1545</v>
      </c>
      <c r="H29" s="5" t="s">
        <v>144</v>
      </c>
      <c r="I29" s="23" t="s">
        <v>46</v>
      </c>
      <c r="J29" s="15"/>
      <c r="K29" s="8">
        <v>64</v>
      </c>
      <c r="L29" s="26">
        <f>Table1345678101112131415161718192021222324252627283031323334[[#This Row],[الدولار]]+(Table1345678101112131415161718192021222324252627283031323334[[#This Row],[اللبناني]]/90)</f>
        <v>64</v>
      </c>
      <c r="P29" s="20"/>
      <c r="Q29" s="47" t="s">
        <v>24</v>
      </c>
      <c r="R29" s="47"/>
      <c r="S29" s="19">
        <f>SUM(Table1345678101112131415161718192021222324252627283031323334[اللبناني])</f>
        <v>1300</v>
      </c>
    </row>
    <row r="30" spans="1:19" x14ac:dyDescent="0.3">
      <c r="A30" s="47" t="s">
        <v>23</v>
      </c>
      <c r="B30" s="47"/>
      <c r="C30" s="9">
        <f ca="1">INDIRECT("'"&amp;$A$19&amp;"'!K20")+K1</f>
        <v>92</v>
      </c>
      <c r="F30" s="15"/>
      <c r="H30" s="5" t="s">
        <v>144</v>
      </c>
      <c r="I30" s="23" t="s">
        <v>355</v>
      </c>
      <c r="J30" s="15">
        <v>630</v>
      </c>
      <c r="L30" s="26">
        <f>Table1345678101112131415161718192021222324252627283031323334[[#This Row],[الدولار]]+(Table1345678101112131415161718192021222324252627283031323334[[#This Row],[اللبناني]]/90)</f>
        <v>7</v>
      </c>
      <c r="N30" s="47" t="s">
        <v>23</v>
      </c>
      <c r="O30" s="47"/>
      <c r="P30" s="9">
        <f>SUM(Table1345678101112131415161718192021222324252627283031323334[الدولار])</f>
        <v>261</v>
      </c>
      <c r="S30" s="15"/>
    </row>
    <row r="31" spans="1:19" x14ac:dyDescent="0.3">
      <c r="C31" s="20"/>
      <c r="D31" s="1" t="s">
        <v>17</v>
      </c>
      <c r="E31" s="1"/>
      <c r="F31" s="19">
        <f ca="1">F27-F29-INDIRECT("'"&amp;$A$19&amp;"'!f27")</f>
        <v>0</v>
      </c>
      <c r="H31" s="5" t="s">
        <v>146</v>
      </c>
      <c r="I31" s="23" t="s">
        <v>357</v>
      </c>
      <c r="J31" s="15"/>
      <c r="K31" s="8">
        <v>-40</v>
      </c>
      <c r="L31" s="26">
        <f>Table1345678101112131415161718192021222324252627283031323334[[#This Row],[الدولار]]+(Table1345678101112131415161718192021222324252627283031323334[[#This Row],[اللبناني]]/90)</f>
        <v>-40</v>
      </c>
      <c r="P31" s="20"/>
      <c r="Q31" s="1" t="s">
        <v>17</v>
      </c>
      <c r="R31" s="1"/>
      <c r="S31" s="19">
        <f>S27-S29-F27</f>
        <v>-6250</v>
      </c>
    </row>
    <row r="32" spans="1:19" x14ac:dyDescent="0.3">
      <c r="A32" s="1" t="s">
        <v>17</v>
      </c>
      <c r="B32" s="1"/>
      <c r="C32" s="9">
        <f ca="1">C28-C30-INDIRECT("'"&amp;$A$19&amp;"'!c28")</f>
        <v>0</v>
      </c>
      <c r="H32" s="5" t="s">
        <v>146</v>
      </c>
      <c r="I32" s="23" t="s">
        <v>356</v>
      </c>
      <c r="J32" s="15"/>
      <c r="K32" s="8">
        <v>-40</v>
      </c>
      <c r="L32" s="26">
        <f>Table1345678101112131415161718192021222324252627283031323334[[#This Row],[الدولار]]+(Table1345678101112131415161718192021222324252627283031323334[[#This Row],[اللبناني]]/90)</f>
        <v>-40</v>
      </c>
      <c r="N32" s="1" t="s">
        <v>17</v>
      </c>
      <c r="O32" s="1"/>
      <c r="P32" s="9">
        <f>P28-P30-C28</f>
        <v>-1417</v>
      </c>
    </row>
    <row r="33" spans="3:13" x14ac:dyDescent="0.3">
      <c r="C33" s="10"/>
      <c r="D33" s="10"/>
      <c r="F33" s="10"/>
      <c r="H33" s="5" t="s">
        <v>144</v>
      </c>
      <c r="I33" s="25"/>
      <c r="J33" s="13">
        <v>350</v>
      </c>
      <c r="L33" s="26">
        <f>Table1345678101112131415161718192021222324252627283031323334[[#This Row],[الدولار]]+(Table1345678101112131415161718192021222324252627283031323334[[#This Row],[اللبناني]]/90)</f>
        <v>3.8888888888888888</v>
      </c>
    </row>
    <row r="34" spans="3:13" x14ac:dyDescent="0.3">
      <c r="C34" s="10"/>
      <c r="D34" s="10"/>
      <c r="F34" s="10"/>
      <c r="H34" s="5" t="s">
        <v>144</v>
      </c>
      <c r="I34" s="25" t="s">
        <v>104</v>
      </c>
      <c r="J34" s="13">
        <v>120</v>
      </c>
      <c r="L34" s="26">
        <f>Table1345678101112131415161718192021222324252627283031323334[[#This Row],[الدولار]]+(Table1345678101112131415161718192021222324252627283031323334[[#This Row],[اللبناني]]/90)</f>
        <v>1.3333333333333333</v>
      </c>
    </row>
    <row r="35" spans="3:13" x14ac:dyDescent="0.3">
      <c r="C35" s="10"/>
      <c r="D35" s="10"/>
      <c r="F35" s="10"/>
      <c r="H35" s="5" t="s">
        <v>144</v>
      </c>
      <c r="I35" s="23" t="s">
        <v>67</v>
      </c>
      <c r="J35" s="13">
        <v>100</v>
      </c>
      <c r="L35" s="26">
        <f>Table1345678101112131415161718192021222324252627283031323334[[#This Row],[الدولار]]+(Table1345678101112131415161718192021222324252627283031323334[[#This Row],[اللبناني]]/90)</f>
        <v>1.1111111111111112</v>
      </c>
    </row>
    <row r="36" spans="3:13" s="8" customFormat="1" x14ac:dyDescent="0.3">
      <c r="C36" s="10"/>
      <c r="D36" s="10"/>
      <c r="E36" s="2"/>
      <c r="F36" s="10"/>
      <c r="G36" s="2"/>
      <c r="H36" s="5" t="s">
        <v>144</v>
      </c>
      <c r="I36" s="25" t="s">
        <v>60</v>
      </c>
      <c r="J36" s="15">
        <v>-450</v>
      </c>
      <c r="K36" s="8">
        <v>10</v>
      </c>
      <c r="L36" s="26">
        <f>Table1345678101112131415161718192021222324252627283031323334[[#This Row],[الدولار]]+(Table1345678101112131415161718192021222324252627283031323334[[#This Row],[اللبناني]]/90)</f>
        <v>5</v>
      </c>
      <c r="M36" s="6"/>
    </row>
    <row r="37" spans="3:13" s="8" customFormat="1" x14ac:dyDescent="0.3">
      <c r="C37" s="10"/>
      <c r="D37" s="2"/>
      <c r="E37" s="2"/>
      <c r="F37" s="10"/>
      <c r="G37" s="2"/>
      <c r="H37" s="5" t="s">
        <v>144</v>
      </c>
      <c r="I37" s="25" t="s">
        <v>29</v>
      </c>
      <c r="J37" s="15"/>
      <c r="K37" s="8">
        <v>35</v>
      </c>
      <c r="L37" s="26">
        <f>Table1345678101112131415161718192021222324252627283031323334[[#This Row],[الدولار]]+(Table1345678101112131415161718192021222324252627283031323334[[#This Row],[اللبناني]]/90)</f>
        <v>35</v>
      </c>
      <c r="M37" s="6"/>
    </row>
    <row r="38" spans="3:13" s="8" customFormat="1" x14ac:dyDescent="0.3">
      <c r="C38" s="10"/>
      <c r="D38" s="2"/>
      <c r="E38" s="2"/>
      <c r="F38" s="2"/>
      <c r="G38" s="2"/>
      <c r="H38" s="5" t="s">
        <v>144</v>
      </c>
      <c r="I38" s="25" t="s">
        <v>358</v>
      </c>
      <c r="J38" s="15">
        <v>400</v>
      </c>
      <c r="L38" s="26">
        <f>Table1345678101112131415161718192021222324252627283031323334[[#This Row],[الدولار]]+(Table1345678101112131415161718192021222324252627283031323334[[#This Row],[اللبناني]]/90)</f>
        <v>4.4444444444444446</v>
      </c>
      <c r="M38" s="6"/>
    </row>
    <row r="39" spans="3:13" s="8" customFormat="1" x14ac:dyDescent="0.3">
      <c r="C39" s="2"/>
      <c r="D39" s="2"/>
      <c r="E39" s="2"/>
      <c r="F39" s="6"/>
      <c r="G39" s="2"/>
      <c r="H39" s="5" t="s">
        <v>144</v>
      </c>
      <c r="I39" s="23" t="s">
        <v>359</v>
      </c>
      <c r="J39" s="15"/>
      <c r="K39" s="8">
        <v>20</v>
      </c>
      <c r="L39" s="26">
        <f>Table1345678101112131415161718192021222324252627283031323334[[#This Row],[الدولار]]+(Table1345678101112131415161718192021222324252627283031323334[[#This Row],[اللبناني]]/90)</f>
        <v>20</v>
      </c>
      <c r="M39" s="6"/>
    </row>
    <row r="40" spans="3:13" s="8" customFormat="1" x14ac:dyDescent="0.3">
      <c r="C40" s="6"/>
      <c r="D40" s="2"/>
      <c r="E40" s="2"/>
      <c r="F40" s="2"/>
      <c r="G40" s="2"/>
      <c r="H40" s="5" t="s">
        <v>144</v>
      </c>
      <c r="I40" s="23" t="s">
        <v>360</v>
      </c>
      <c r="J40" s="15">
        <v>50</v>
      </c>
      <c r="L40" s="26">
        <f>Table1345678101112131415161718192021222324252627283031323334[[#This Row],[الدولار]]+(Table1345678101112131415161718192021222324252627283031323334[[#This Row],[اللبناني]]/90)</f>
        <v>0.55555555555555558</v>
      </c>
      <c r="M40" s="6"/>
    </row>
    <row r="41" spans="3:13" s="8" customFormat="1" x14ac:dyDescent="0.3">
      <c r="C41" s="2"/>
      <c r="D41" s="2"/>
      <c r="E41" s="2"/>
      <c r="F41" s="6"/>
      <c r="G41" s="2"/>
      <c r="H41" s="5" t="s">
        <v>144</v>
      </c>
      <c r="I41" s="23" t="s">
        <v>361</v>
      </c>
      <c r="J41" s="15">
        <v>-200</v>
      </c>
      <c r="K41" s="8">
        <v>10</v>
      </c>
      <c r="L41" s="26">
        <f>Table1345678101112131415161718192021222324252627283031323334[[#This Row],[الدولار]]+(Table1345678101112131415161718192021222324252627283031323334[[#This Row],[اللبناني]]/90)</f>
        <v>7.7777777777777777</v>
      </c>
      <c r="M41" s="6"/>
    </row>
    <row r="42" spans="3:13" s="8" customFormat="1" x14ac:dyDescent="0.3">
      <c r="C42" s="6"/>
      <c r="D42" s="2"/>
      <c r="E42" s="2"/>
      <c r="F42" s="2"/>
      <c r="G42" s="2"/>
      <c r="H42" s="5" t="s">
        <v>144</v>
      </c>
      <c r="I42" s="23"/>
      <c r="J42" s="15"/>
      <c r="L42" s="26">
        <f>Table1345678101112131415161718192021222324252627283031323334[[#This Row],[الدولار]]+(Table1345678101112131415161718192021222324252627283031323334[[#This Row],[اللبناني]]/90)</f>
        <v>0</v>
      </c>
      <c r="M42" s="6"/>
    </row>
    <row r="43" spans="3:13" s="8" customFormat="1" x14ac:dyDescent="0.3">
      <c r="C43" s="2"/>
      <c r="D43" s="2"/>
      <c r="E43" s="2"/>
      <c r="F43" s="2"/>
      <c r="G43" s="2"/>
      <c r="H43" s="5" t="s">
        <v>144</v>
      </c>
      <c r="I43" s="23"/>
      <c r="J43" s="15"/>
      <c r="L43" s="26">
        <f>Table1345678101112131415161718192021222324252627283031323334[[#This Row],[الدولار]]+(Table1345678101112131415161718192021222324252627283031323334[[#This Row],[اللبناني]]/90)</f>
        <v>0</v>
      </c>
      <c r="M43" s="6"/>
    </row>
    <row r="44" spans="3:13" s="8" customFormat="1" x14ac:dyDescent="0.3">
      <c r="C44" s="2"/>
      <c r="D44" s="2"/>
      <c r="E44" s="2"/>
      <c r="F44" s="2"/>
      <c r="G44" s="2"/>
      <c r="H44" s="5" t="s">
        <v>144</v>
      </c>
      <c r="I44" s="23"/>
      <c r="J44" s="15"/>
      <c r="L44" s="26">
        <f>Table1345678101112131415161718192021222324252627283031323334[[#This Row],[الدولار]]+(Table1345678101112131415161718192021222324252627283031323334[[#This Row],[اللبناني]]/90)</f>
        <v>0</v>
      </c>
      <c r="M44" s="6"/>
    </row>
    <row r="45" spans="3:13" s="8" customFormat="1" x14ac:dyDescent="0.3">
      <c r="C45" s="2"/>
      <c r="D45" s="2"/>
      <c r="E45" s="2"/>
      <c r="F45" s="2"/>
      <c r="G45" s="2"/>
      <c r="H45" s="5" t="s">
        <v>144</v>
      </c>
      <c r="I45" s="23"/>
      <c r="J45" s="15"/>
      <c r="L45" s="26">
        <f>Table1345678101112131415161718192021222324252627283031323334[[#This Row],[الدولار]]+(Table1345678101112131415161718192021222324252627283031323334[[#This Row],[اللبناني]]/90)</f>
        <v>0</v>
      </c>
      <c r="M45" s="6"/>
    </row>
    <row r="46" spans="3:13" s="8" customFormat="1" x14ac:dyDescent="0.3">
      <c r="C46" s="2"/>
      <c r="D46" s="2"/>
      <c r="E46" s="2"/>
      <c r="F46" s="2"/>
      <c r="G46" s="2"/>
      <c r="H46" s="5" t="s">
        <v>144</v>
      </c>
      <c r="I46" s="23"/>
      <c r="J46" s="13"/>
      <c r="L46" s="26">
        <f>Table1345678101112131415161718192021222324252627283031323334[[#This Row],[الدولار]]+(Table1345678101112131415161718192021222324252627283031323334[[#This Row],[اللبناني]]/90)</f>
        <v>0</v>
      </c>
      <c r="M46" s="6"/>
    </row>
    <row r="47" spans="3:13" s="8" customFormat="1" x14ac:dyDescent="0.3">
      <c r="C47" s="2"/>
      <c r="D47" s="2"/>
      <c r="E47" s="2"/>
      <c r="F47" s="2"/>
      <c r="G47" s="2"/>
      <c r="H47" s="5" t="s">
        <v>144</v>
      </c>
      <c r="I47" s="21"/>
      <c r="J47" s="13"/>
      <c r="L47" s="26">
        <f>Table1345678101112131415161718192021222324252627283031323334[[#This Row],[الدولار]]+(Table1345678101112131415161718192021222324252627283031323334[[#This Row],[اللبناني]]/90)</f>
        <v>0</v>
      </c>
      <c r="M47" s="6"/>
    </row>
    <row r="48" spans="3:13" s="8" customFormat="1" x14ac:dyDescent="0.3">
      <c r="C48" s="2"/>
      <c r="D48" s="2"/>
      <c r="E48" s="2"/>
      <c r="F48" s="2"/>
      <c r="G48" s="2"/>
      <c r="H48" s="5" t="s">
        <v>144</v>
      </c>
      <c r="I48" s="21"/>
      <c r="J48" s="13"/>
      <c r="L48" s="26">
        <f>Table1345678101112131415161718192021222324252627283031323334[[#This Row],[الدولار]]+(Table1345678101112131415161718192021222324252627283031323334[[#This Row],[اللبناني]]/90)</f>
        <v>0</v>
      </c>
      <c r="M48" s="6"/>
    </row>
    <row r="49" spans="3:19" s="8" customFormat="1" x14ac:dyDescent="0.3">
      <c r="C49" s="2"/>
      <c r="D49" s="2"/>
      <c r="E49" s="2"/>
      <c r="F49" s="2"/>
      <c r="G49" s="2"/>
      <c r="H49" s="5" t="s">
        <v>144</v>
      </c>
      <c r="I49" s="21"/>
      <c r="J49" s="13"/>
      <c r="L49" s="26">
        <f>Table1345678101112131415161718192021222324252627283031323334[[#This Row],[الدولار]]+(Table1345678101112131415161718192021222324252627283031323334[[#This Row],[اللبناني]]/90)</f>
        <v>0</v>
      </c>
      <c r="M49" s="6"/>
      <c r="S49" s="45"/>
    </row>
    <row r="50" spans="3:19" s="8" customFormat="1" x14ac:dyDescent="0.3">
      <c r="C50" s="2"/>
      <c r="D50" s="2"/>
      <c r="E50" s="2"/>
      <c r="F50" s="2"/>
      <c r="G50" s="2"/>
      <c r="H50" s="5" t="s">
        <v>144</v>
      </c>
      <c r="I50" s="21"/>
      <c r="J50" s="13"/>
      <c r="L50" s="26">
        <f>Table1345678101112131415161718192021222324252627283031323334[[#This Row],[الدولار]]+(Table1345678101112131415161718192021222324252627283031323334[[#This Row],[اللبناني]]/90)</f>
        <v>0</v>
      </c>
      <c r="M50" s="6"/>
    </row>
    <row r="51" spans="3:19" s="8" customFormat="1" x14ac:dyDescent="0.3">
      <c r="C51" s="2"/>
      <c r="D51" s="2"/>
      <c r="E51" s="2"/>
      <c r="F51" s="2"/>
      <c r="G51" s="2"/>
      <c r="H51" s="5" t="s">
        <v>144</v>
      </c>
      <c r="I51" s="21"/>
      <c r="J51" s="13"/>
      <c r="L51" s="26">
        <f>Table1345678101112131415161718192021222324252627283031323334[[#This Row],[الدولار]]+(Table1345678101112131415161718192021222324252627283031323334[[#This Row],[اللبناني]]/90)</f>
        <v>0</v>
      </c>
      <c r="M51" s="6"/>
    </row>
    <row r="52" spans="3:19" s="8" customFormat="1" x14ac:dyDescent="0.3">
      <c r="H52" s="5" t="s">
        <v>144</v>
      </c>
      <c r="I52" s="21"/>
      <c r="J52" s="13"/>
      <c r="L52" s="26">
        <f>Table1345678101112131415161718192021222324252627283031323334[[#This Row],[الدولار]]+(Table1345678101112131415161718192021222324252627283031323334[[#This Row],[اللبناني]]/90)</f>
        <v>0</v>
      </c>
      <c r="M52" s="6"/>
    </row>
    <row r="53" spans="3:19" s="8" customFormat="1" x14ac:dyDescent="0.3">
      <c r="H53" s="5" t="s">
        <v>144</v>
      </c>
      <c r="I53" s="21"/>
      <c r="J53" s="13"/>
      <c r="L53" s="26">
        <f>Table1345678101112131415161718192021222324252627283031323334[[#This Row],[الدولار]]+(Table1345678101112131415161718192021222324252627283031323334[[#This Row],[اللبناني]]/90)</f>
        <v>0</v>
      </c>
      <c r="M53" s="6"/>
    </row>
    <row r="54" spans="3:19" s="8" customFormat="1" x14ac:dyDescent="0.3">
      <c r="H54" s="5" t="s">
        <v>144</v>
      </c>
      <c r="I54" s="21"/>
      <c r="J54" s="13"/>
      <c r="L54" s="26">
        <f>Table1345678101112131415161718192021222324252627283031323334[[#This Row],[الدولار]]+(Table1345678101112131415161718192021222324252627283031323334[[#This Row],[اللبناني]]/90)</f>
        <v>0</v>
      </c>
      <c r="M54" s="6"/>
    </row>
    <row r="55" spans="3:19" s="8" customFormat="1" x14ac:dyDescent="0.3">
      <c r="H55" s="5" t="s">
        <v>144</v>
      </c>
      <c r="I55" s="21"/>
      <c r="J55" s="13"/>
      <c r="L55" s="26">
        <f>Table1345678101112131415161718192021222324252627283031323334[[#This Row],[الدولار]]+(Table1345678101112131415161718192021222324252627283031323334[[#This Row],[اللبناني]]/90)</f>
        <v>0</v>
      </c>
      <c r="M55" s="6"/>
    </row>
    <row r="56" spans="3:19" s="8" customFormat="1" x14ac:dyDescent="0.3">
      <c r="H56" s="5" t="s">
        <v>144</v>
      </c>
      <c r="I56" s="21"/>
      <c r="J56" s="13"/>
      <c r="L56" s="26">
        <f>Table1345678101112131415161718192021222324252627283031323334[[#This Row],[الدولار]]+(Table1345678101112131415161718192021222324252627283031323334[[#This Row],[اللبناني]]/90)</f>
        <v>0</v>
      </c>
      <c r="M56" s="6"/>
    </row>
    <row r="57" spans="3:19" s="8" customFormat="1" x14ac:dyDescent="0.3">
      <c r="H57" s="5" t="s">
        <v>144</v>
      </c>
      <c r="I57" s="21"/>
      <c r="J57" s="13"/>
      <c r="L57" s="26">
        <f>Table1345678101112131415161718192021222324252627283031323334[[#This Row],[الدولار]]+(Table1345678101112131415161718192021222324252627283031323334[[#This Row],[اللبناني]]/90)</f>
        <v>0</v>
      </c>
      <c r="M57" s="6"/>
      <c r="P57" s="46"/>
      <c r="S57" s="45"/>
    </row>
    <row r="58" spans="3:19" s="8" customFormat="1" x14ac:dyDescent="0.3">
      <c r="H58" s="5" t="s">
        <v>144</v>
      </c>
      <c r="I58" s="21"/>
      <c r="J58" s="13"/>
      <c r="L58" s="26">
        <f>Table1345678101112131415161718192021222324252627283031323334[[#This Row],[الدولار]]+(Table1345678101112131415161718192021222324252627283031323334[[#This Row],[اللبناني]]/90)</f>
        <v>0</v>
      </c>
      <c r="M58" s="6"/>
      <c r="P58" s="46"/>
      <c r="S58" s="45"/>
    </row>
    <row r="59" spans="3:19" s="8" customFormat="1" x14ac:dyDescent="0.3">
      <c r="H59" s="5" t="s">
        <v>144</v>
      </c>
      <c r="I59" s="21"/>
      <c r="J59" s="13"/>
      <c r="L59" s="26">
        <f>Table1345678101112131415161718192021222324252627283031323334[[#This Row],[الدولار]]+(Table1345678101112131415161718192021222324252627283031323334[[#This Row],[اللبناني]]/90)</f>
        <v>0</v>
      </c>
      <c r="M59" s="6"/>
    </row>
    <row r="60" spans="3:19" s="8" customFormat="1" x14ac:dyDescent="0.3">
      <c r="H60" s="5" t="s">
        <v>144</v>
      </c>
      <c r="I60" s="21"/>
      <c r="J60" s="13"/>
      <c r="L60" s="26">
        <f>Table1345678101112131415161718192021222324252627283031323334[[#This Row],[الدولار]]+(Table1345678101112131415161718192021222324252627283031323334[[#This Row],[اللبناني]]/90)</f>
        <v>0</v>
      </c>
      <c r="M60" s="6"/>
    </row>
    <row r="61" spans="3:19" s="8" customFormat="1" x14ac:dyDescent="0.3">
      <c r="H61" s="5" t="s">
        <v>144</v>
      </c>
      <c r="I61" s="21"/>
      <c r="J61" s="13"/>
      <c r="L61" s="26">
        <f>Table1345678101112131415161718192021222324252627283031323334[[#This Row],[الدولار]]+(Table1345678101112131415161718192021222324252627283031323334[[#This Row],[اللبناني]]/90)</f>
        <v>0</v>
      </c>
      <c r="M61" s="6"/>
      <c r="P61" s="9"/>
      <c r="S61" s="14"/>
    </row>
    <row r="62" spans="3:19" s="8" customFormat="1" x14ac:dyDescent="0.3">
      <c r="H62" s="5" t="s">
        <v>144</v>
      </c>
      <c r="I62" s="21"/>
      <c r="J62" s="13"/>
      <c r="L62" s="26">
        <f>Table1345678101112131415161718192021222324252627283031323334[[#This Row],[الدولار]]+(Table1345678101112131415161718192021222324252627283031323334[[#This Row],[اللبناني]]/90)</f>
        <v>0</v>
      </c>
      <c r="M62" s="6"/>
    </row>
    <row r="63" spans="3:19" s="8" customFormat="1" x14ac:dyDescent="0.3">
      <c r="H63" s="5" t="s">
        <v>144</v>
      </c>
      <c r="I63" s="21"/>
      <c r="J63" s="13"/>
      <c r="L63" s="26">
        <f>Table1345678101112131415161718192021222324252627283031323334[[#This Row],[الدولار]]+(Table1345678101112131415161718192021222324252627283031323334[[#This Row],[اللبناني]]/90)</f>
        <v>0</v>
      </c>
      <c r="M63" s="6"/>
      <c r="P63" s="46"/>
      <c r="S63" s="45"/>
    </row>
    <row r="64" spans="3:19" s="8" customFormat="1" x14ac:dyDescent="0.3">
      <c r="H64" s="5" t="s">
        <v>144</v>
      </c>
      <c r="I64" s="21"/>
      <c r="J64" s="13"/>
      <c r="L64" s="26">
        <f>Table1345678101112131415161718192021222324252627283031323334[[#This Row],[الدولار]]+(Table1345678101112131415161718192021222324252627283031323334[[#This Row],[اللبناني]]/90)</f>
        <v>0</v>
      </c>
      <c r="M64" s="6"/>
      <c r="P64" s="46"/>
      <c r="S64" s="45"/>
    </row>
    <row r="65" spans="4:19" s="8" customFormat="1" x14ac:dyDescent="0.3">
      <c r="D65" s="36"/>
      <c r="H65" s="5" t="s">
        <v>144</v>
      </c>
      <c r="I65" s="21"/>
      <c r="J65" s="32"/>
      <c r="K65" s="33"/>
      <c r="L65" s="26">
        <f>Table1345678101112131415161718192021222324252627283031323334[[#This Row],[الدولار]]+(Table1345678101112131415161718192021222324252627283031323334[[#This Row],[اللبناني]]/90)</f>
        <v>0</v>
      </c>
      <c r="M65" s="6"/>
      <c r="P65" s="46"/>
      <c r="S65" s="45"/>
    </row>
    <row r="66" spans="4:19" s="8" customFormat="1" x14ac:dyDescent="0.3">
      <c r="D66" s="36"/>
      <c r="H66" s="5" t="s">
        <v>144</v>
      </c>
      <c r="I66" s="21"/>
      <c r="J66" s="34"/>
      <c r="K66" s="35"/>
      <c r="L66" s="26">
        <f>Table1345678101112131415161718192021222324252627283031323334[[#This Row],[الدولار]]+(Table1345678101112131415161718192021222324252627283031323334[[#This Row],[اللبناني]]/90)</f>
        <v>0</v>
      </c>
      <c r="M66" s="6"/>
    </row>
    <row r="67" spans="4:19" s="8" customFormat="1" x14ac:dyDescent="0.3">
      <c r="D67" s="36"/>
      <c r="H67" s="5" t="s">
        <v>144</v>
      </c>
      <c r="I67" s="21"/>
      <c r="J67" s="32"/>
      <c r="K67" s="33"/>
      <c r="L67" s="26">
        <f>Table1345678101112131415161718192021222324252627283031323334[[#This Row],[الدولار]]+(Table1345678101112131415161718192021222324252627283031323334[[#This Row],[اللبناني]]/90)</f>
        <v>0</v>
      </c>
      <c r="M67" s="6"/>
    </row>
    <row r="68" spans="4:19" s="8" customFormat="1" x14ac:dyDescent="0.3">
      <c r="D68" s="36"/>
      <c r="H68" s="5" t="s">
        <v>144</v>
      </c>
      <c r="I68" s="21"/>
      <c r="J68" s="34"/>
      <c r="K68" s="35"/>
      <c r="L68" s="26">
        <f>Table1345678101112131415161718192021222324252627283031323334[[#This Row],[الدولار]]+(Table1345678101112131415161718192021222324252627283031323334[[#This Row],[اللبناني]]/90)</f>
        <v>0</v>
      </c>
      <c r="M68" s="6"/>
    </row>
    <row r="69" spans="4:19" s="8" customFormat="1" x14ac:dyDescent="0.3">
      <c r="D69" s="36"/>
      <c r="H69" s="5" t="s">
        <v>144</v>
      </c>
      <c r="I69" s="21"/>
      <c r="J69" s="32"/>
      <c r="K69" s="33"/>
      <c r="L69" s="26">
        <f>Table1345678101112131415161718192021222324252627283031323334[[#This Row],[الدولار]]+(Table1345678101112131415161718192021222324252627283031323334[[#This Row],[اللبناني]]/90)</f>
        <v>0</v>
      </c>
      <c r="M69" s="6"/>
    </row>
    <row r="70" spans="4:19" s="8" customFormat="1" x14ac:dyDescent="0.3">
      <c r="H70" s="5" t="s">
        <v>144</v>
      </c>
      <c r="I70" s="21"/>
      <c r="J70" s="13"/>
      <c r="L70" s="26">
        <f>Table1345678101112131415161718192021222324252627283031323334[[#This Row],[الدولار]]+(Table1345678101112131415161718192021222324252627283031323334[[#This Row],[اللبناني]]/90)</f>
        <v>0</v>
      </c>
      <c r="M70" s="6"/>
    </row>
    <row r="71" spans="4:19" s="8" customFormat="1" x14ac:dyDescent="0.3">
      <c r="H71" s="5" t="s">
        <v>144</v>
      </c>
      <c r="I71" s="21"/>
      <c r="J71" s="13"/>
      <c r="L71" s="26">
        <f>Table1345678101112131415161718192021222324252627283031323334[[#This Row],[الدولار]]+(Table1345678101112131415161718192021222324252627283031323334[[#This Row],[اللبناني]]/90)</f>
        <v>0</v>
      </c>
      <c r="M71" s="6"/>
    </row>
    <row r="72" spans="4:19" s="8" customFormat="1" x14ac:dyDescent="0.3">
      <c r="H72" s="5" t="s">
        <v>144</v>
      </c>
      <c r="I72" s="21"/>
      <c r="J72" s="13"/>
      <c r="L72" s="26">
        <f>Table1345678101112131415161718192021222324252627283031323334[[#This Row],[الدولار]]+(Table1345678101112131415161718192021222324252627283031323334[[#This Row],[اللبناني]]/90)</f>
        <v>0</v>
      </c>
      <c r="M72" s="6"/>
    </row>
    <row r="73" spans="4:19" s="8" customFormat="1" x14ac:dyDescent="0.3">
      <c r="H73" s="5" t="s">
        <v>144</v>
      </c>
      <c r="I73" s="21"/>
      <c r="J73" s="13"/>
      <c r="L73" s="26">
        <f>Table1345678101112131415161718192021222324252627283031323334[[#This Row],[الدولار]]+(Table1345678101112131415161718192021222324252627283031323334[[#This Row],[اللبناني]]/90)</f>
        <v>0</v>
      </c>
      <c r="M73" s="6"/>
    </row>
    <row r="74" spans="4:19" s="8" customFormat="1" x14ac:dyDescent="0.3">
      <c r="H74" s="5" t="s">
        <v>144</v>
      </c>
      <c r="I74" s="21"/>
      <c r="J74" s="13"/>
      <c r="L74" s="26">
        <f>Table1345678101112131415161718192021222324252627283031323334[[#This Row],[الدولار]]+(Table1345678101112131415161718192021222324252627283031323334[[#This Row],[اللبناني]]/90)</f>
        <v>0</v>
      </c>
      <c r="M74" s="6"/>
    </row>
    <row r="75" spans="4:19" s="8" customFormat="1" x14ac:dyDescent="0.3">
      <c r="H75" s="5" t="s">
        <v>144</v>
      </c>
      <c r="I75" s="21"/>
      <c r="J75" s="13"/>
      <c r="L75" s="26">
        <f>Table1345678101112131415161718192021222324252627283031323334[[#This Row],[الدولار]]+(Table1345678101112131415161718192021222324252627283031323334[[#This Row],[اللبناني]]/90)</f>
        <v>0</v>
      </c>
      <c r="M75" s="6"/>
    </row>
    <row r="76" spans="4:19" s="8" customFormat="1" x14ac:dyDescent="0.3">
      <c r="H76" s="5" t="s">
        <v>144</v>
      </c>
      <c r="I76" s="21"/>
      <c r="J76" s="13"/>
      <c r="L76" s="26">
        <f>Table1345678101112131415161718192021222324252627283031323334[[#This Row],[الدولار]]+(Table1345678101112131415161718192021222324252627283031323334[[#This Row],[اللبناني]]/90)</f>
        <v>0</v>
      </c>
      <c r="M76" s="6"/>
    </row>
    <row r="77" spans="4:19" s="8" customFormat="1" x14ac:dyDescent="0.3">
      <c r="H77" s="5" t="s">
        <v>144</v>
      </c>
      <c r="I77" s="21"/>
      <c r="J77" s="13"/>
      <c r="L77" s="26">
        <f>Table1345678101112131415161718192021222324252627283031323334[[#This Row],[الدولار]]+(Table1345678101112131415161718192021222324252627283031323334[[#This Row],[اللبناني]]/90)</f>
        <v>0</v>
      </c>
      <c r="M77" s="6"/>
    </row>
    <row r="78" spans="4:19" s="8" customFormat="1" x14ac:dyDescent="0.3">
      <c r="H78" s="5" t="s">
        <v>144</v>
      </c>
      <c r="I78" s="21"/>
      <c r="J78" s="13"/>
      <c r="L78" s="26">
        <f>Table1345678101112131415161718192021222324252627283031323334[[#This Row],[الدولار]]+(Table1345678101112131415161718192021222324252627283031323334[[#This Row],[اللبناني]]/90)</f>
        <v>0</v>
      </c>
      <c r="M78" s="6"/>
    </row>
    <row r="79" spans="4:19" s="8" customFormat="1" x14ac:dyDescent="0.3">
      <c r="H79" s="5" t="s">
        <v>144</v>
      </c>
      <c r="I79" s="21"/>
      <c r="J79" s="13"/>
      <c r="L79" s="26">
        <f>Table1345678101112131415161718192021222324252627283031323334[[#This Row],[الدولار]]+(Table1345678101112131415161718192021222324252627283031323334[[#This Row],[اللبناني]]/90)</f>
        <v>0</v>
      </c>
      <c r="M79" s="6"/>
    </row>
    <row r="80" spans="4:19" s="8" customFormat="1" x14ac:dyDescent="0.3">
      <c r="H80" s="5" t="s">
        <v>144</v>
      </c>
      <c r="I80" s="21"/>
      <c r="J80" s="13"/>
      <c r="L80" s="26">
        <f>Table1345678101112131415161718192021222324252627283031323334[[#This Row],[الدولار]]+(Table1345678101112131415161718192021222324252627283031323334[[#This Row],[اللبناني]]/90)</f>
        <v>0</v>
      </c>
      <c r="M80" s="6"/>
    </row>
    <row r="81" spans="8:19" s="8" customFormat="1" x14ac:dyDescent="0.3">
      <c r="H81" s="5" t="s">
        <v>144</v>
      </c>
      <c r="I81" s="21"/>
      <c r="J81" s="13"/>
      <c r="L81" s="26">
        <f>Table1345678101112131415161718192021222324252627283031323334[[#This Row],[الدولار]]+(Table1345678101112131415161718192021222324252627283031323334[[#This Row],[اللبناني]]/90)</f>
        <v>0</v>
      </c>
      <c r="M81" s="6"/>
      <c r="S81" s="15"/>
    </row>
    <row r="82" spans="8:19" s="8" customFormat="1" x14ac:dyDescent="0.3">
      <c r="H82" s="5" t="s">
        <v>144</v>
      </c>
      <c r="I82" s="21"/>
      <c r="J82" s="13"/>
      <c r="L82" s="26">
        <f>Table1345678101112131415161718192021222324252627283031323334[[#This Row],[الدولار]]+(Table1345678101112131415161718192021222324252627283031323334[[#This Row],[اللبناني]]/90)</f>
        <v>0</v>
      </c>
      <c r="M82" s="6"/>
    </row>
    <row r="83" spans="8:19" s="8" customFormat="1" x14ac:dyDescent="0.3">
      <c r="H83" s="5" t="s">
        <v>144</v>
      </c>
      <c r="I83" s="21"/>
      <c r="J83" s="13"/>
      <c r="L83" s="26">
        <f>Table1345678101112131415161718192021222324252627283031323334[[#This Row],[الدولار]]+(Table1345678101112131415161718192021222324252627283031323334[[#This Row],[اللبناني]]/90)</f>
        <v>0</v>
      </c>
      <c r="M83" s="6"/>
    </row>
    <row r="84" spans="8:19" s="8" customFormat="1" x14ac:dyDescent="0.3">
      <c r="H84" s="5" t="s">
        <v>144</v>
      </c>
      <c r="I84" s="21"/>
      <c r="J84" s="13"/>
      <c r="L84" s="26">
        <f>Table1345678101112131415161718192021222324252627283031323334[[#This Row],[الدولار]]+(Table1345678101112131415161718192021222324252627283031323334[[#This Row],[اللبناني]]/90)</f>
        <v>0</v>
      </c>
      <c r="M84" s="6"/>
    </row>
    <row r="85" spans="8:19" s="8" customFormat="1" x14ac:dyDescent="0.3">
      <c r="H85" s="5" t="s">
        <v>144</v>
      </c>
      <c r="I85" s="21"/>
      <c r="J85" s="13"/>
      <c r="L85" s="26">
        <f>Table1345678101112131415161718192021222324252627283031323334[[#This Row],[الدولار]]+(Table1345678101112131415161718192021222324252627283031323334[[#This Row],[اللبناني]]/90)</f>
        <v>0</v>
      </c>
      <c r="M85" s="6"/>
    </row>
    <row r="86" spans="8:19" s="8" customFormat="1" x14ac:dyDescent="0.3">
      <c r="H86" s="5" t="s">
        <v>144</v>
      </c>
      <c r="I86" s="21"/>
      <c r="J86" s="13"/>
      <c r="L86" s="26">
        <f>Table1345678101112131415161718192021222324252627283031323334[[#This Row],[الدولار]]+(Table1345678101112131415161718192021222324252627283031323334[[#This Row],[اللبناني]]/90)</f>
        <v>0</v>
      </c>
      <c r="M86" s="6"/>
    </row>
    <row r="87" spans="8:19" s="8" customFormat="1" x14ac:dyDescent="0.3">
      <c r="H87" s="5" t="s">
        <v>144</v>
      </c>
      <c r="I87" s="21"/>
      <c r="J87" s="13"/>
      <c r="L87" s="26">
        <f>Table1345678101112131415161718192021222324252627283031323334[[#This Row],[الدولار]]+(Table1345678101112131415161718192021222324252627283031323334[[#This Row],[اللبناني]]/90)</f>
        <v>0</v>
      </c>
      <c r="M87" s="6"/>
    </row>
    <row r="88" spans="8:19" s="8" customFormat="1" x14ac:dyDescent="0.3">
      <c r="H88" s="5" t="s">
        <v>144</v>
      </c>
      <c r="I88" s="21"/>
      <c r="J88" s="13"/>
      <c r="L88" s="26">
        <f>Table1345678101112131415161718192021222324252627283031323334[[#This Row],[الدولار]]+(Table1345678101112131415161718192021222324252627283031323334[[#This Row],[اللبناني]]/90)</f>
        <v>0</v>
      </c>
      <c r="M88" s="6"/>
    </row>
    <row r="89" spans="8:19" s="8" customFormat="1" x14ac:dyDescent="0.3">
      <c r="H89" s="5" t="s">
        <v>144</v>
      </c>
      <c r="I89" s="21"/>
      <c r="J89" s="13"/>
      <c r="L89" s="26">
        <f>Table1345678101112131415161718192021222324252627283031323334[[#This Row],[الدولار]]+(Table1345678101112131415161718192021222324252627283031323334[[#This Row],[اللبناني]]/90)</f>
        <v>0</v>
      </c>
      <c r="M89" s="6"/>
    </row>
    <row r="90" spans="8:19" s="8" customFormat="1" x14ac:dyDescent="0.3">
      <c r="H90" s="5" t="s">
        <v>144</v>
      </c>
      <c r="I90" s="21"/>
      <c r="J90" s="13"/>
      <c r="L90" s="26">
        <f>Table1345678101112131415161718192021222324252627283031323334[[#This Row],[الدولار]]+(Table1345678101112131415161718192021222324252627283031323334[[#This Row],[اللبناني]]/90)</f>
        <v>0</v>
      </c>
      <c r="M90" s="6"/>
    </row>
    <row r="91" spans="8:19" s="8" customFormat="1" x14ac:dyDescent="0.3">
      <c r="H91" s="5" t="s">
        <v>144</v>
      </c>
      <c r="I91" s="21"/>
      <c r="J91" s="13"/>
      <c r="L91" s="26">
        <f>Table1345678101112131415161718192021222324252627283031323334[[#This Row],[الدولار]]+(Table1345678101112131415161718192021222324252627283031323334[[#This Row],[اللبناني]]/90)</f>
        <v>0</v>
      </c>
      <c r="M91" s="6"/>
    </row>
    <row r="92" spans="8:19" s="8" customFormat="1" x14ac:dyDescent="0.3">
      <c r="H92" s="5" t="s">
        <v>144</v>
      </c>
      <c r="I92" s="21"/>
      <c r="J92" s="13"/>
      <c r="L92" s="26">
        <f>Table1345678101112131415161718192021222324252627283031323334[[#This Row],[الدولار]]+(Table1345678101112131415161718192021222324252627283031323334[[#This Row],[اللبناني]]/90)</f>
        <v>0</v>
      </c>
      <c r="M92" s="6"/>
    </row>
    <row r="93" spans="8:19" s="8" customFormat="1" x14ac:dyDescent="0.3">
      <c r="H93" s="5" t="s">
        <v>144</v>
      </c>
      <c r="I93" s="21"/>
      <c r="J93" s="13"/>
      <c r="L93" s="26">
        <f>Table1345678101112131415161718192021222324252627283031323334[[#This Row],[الدولار]]+(Table1345678101112131415161718192021222324252627283031323334[[#This Row],[اللبناني]]/90)</f>
        <v>0</v>
      </c>
      <c r="M93" s="6"/>
    </row>
    <row r="94" spans="8:19" s="8" customFormat="1" x14ac:dyDescent="0.3">
      <c r="H94" s="5" t="s">
        <v>144</v>
      </c>
      <c r="I94" s="21"/>
      <c r="J94" s="13"/>
      <c r="L94" s="26">
        <f>Table1345678101112131415161718192021222324252627283031323334[[#This Row],[الدولار]]+(Table1345678101112131415161718192021222324252627283031323334[[#This Row],[اللبناني]]/90)</f>
        <v>0</v>
      </c>
      <c r="M94" s="6"/>
    </row>
    <row r="95" spans="8:19" s="8" customFormat="1" x14ac:dyDescent="0.3">
      <c r="H95" s="5" t="s">
        <v>144</v>
      </c>
      <c r="I95" s="21"/>
      <c r="J95" s="13"/>
      <c r="L95" s="26">
        <f>Table1345678101112131415161718192021222324252627283031323334[[#This Row],[الدولار]]+(Table1345678101112131415161718192021222324252627283031323334[[#This Row],[اللبناني]]/90)</f>
        <v>0</v>
      </c>
      <c r="M95" s="6"/>
    </row>
    <row r="96" spans="8:19" s="8" customFormat="1" x14ac:dyDescent="0.3">
      <c r="H96" s="5" t="s">
        <v>144</v>
      </c>
      <c r="I96" s="21"/>
      <c r="J96" s="13"/>
      <c r="L96" s="26">
        <f>Table1345678101112131415161718192021222324252627283031323334[[#This Row],[الدولار]]+(Table1345678101112131415161718192021222324252627283031323334[[#This Row],[اللبناني]]/90)</f>
        <v>0</v>
      </c>
      <c r="M96" s="6"/>
    </row>
    <row r="97" spans="8:13" s="8" customFormat="1" x14ac:dyDescent="0.3">
      <c r="H97" s="5" t="s">
        <v>144</v>
      </c>
      <c r="I97" s="21"/>
      <c r="J97" s="13"/>
      <c r="L97" s="26">
        <f>Table1345678101112131415161718192021222324252627283031323334[[#This Row],[الدولار]]+(Table1345678101112131415161718192021222324252627283031323334[[#This Row],[اللبناني]]/90)</f>
        <v>0</v>
      </c>
      <c r="M97" s="6"/>
    </row>
    <row r="98" spans="8:13" s="8" customFormat="1" x14ac:dyDescent="0.3">
      <c r="H98" s="5" t="s">
        <v>144</v>
      </c>
      <c r="I98" s="21"/>
      <c r="J98" s="13"/>
      <c r="L98" s="26">
        <f>Table1345678101112131415161718192021222324252627283031323334[[#This Row],[الدولار]]+(Table1345678101112131415161718192021222324252627283031323334[[#This Row],[اللبناني]]/90)</f>
        <v>0</v>
      </c>
      <c r="M98" s="6"/>
    </row>
    <row r="99" spans="8:13" s="8" customFormat="1" x14ac:dyDescent="0.3">
      <c r="H99" s="5" t="s">
        <v>144</v>
      </c>
      <c r="I99" s="21"/>
      <c r="J99" s="13"/>
      <c r="L99" s="26">
        <f>Table1345678101112131415161718192021222324252627283031323334[[#This Row],[الدولار]]+(Table1345678101112131415161718192021222324252627283031323334[[#This Row],[اللبناني]]/90)</f>
        <v>0</v>
      </c>
      <c r="M99" s="6"/>
    </row>
    <row r="100" spans="8:13" s="8" customFormat="1" x14ac:dyDescent="0.3">
      <c r="H100" s="5" t="s">
        <v>144</v>
      </c>
      <c r="I100" s="21"/>
      <c r="J100" s="13"/>
      <c r="L100" s="26">
        <f>Table1345678101112131415161718192021222324252627283031323334[[#This Row],[الدولار]]+(Table1345678101112131415161718192021222324252627283031323334[[#This Row],[اللبناني]]/90)</f>
        <v>0</v>
      </c>
      <c r="M100" s="6"/>
    </row>
    <row r="101" spans="8:13" s="8" customFormat="1" x14ac:dyDescent="0.3">
      <c r="H101" s="5" t="s">
        <v>144</v>
      </c>
      <c r="I101" s="21"/>
      <c r="J101" s="13"/>
      <c r="L101" s="26">
        <f>Table1345678101112131415161718192021222324252627283031323334[[#This Row],[الدولار]]+(Table1345678101112131415161718192021222324252627283031323334[[#This Row],[اللبناني]]/90)</f>
        <v>0</v>
      </c>
      <c r="M101" s="6"/>
    </row>
    <row r="102" spans="8:13" s="8" customFormat="1" x14ac:dyDescent="0.3">
      <c r="H102" s="5" t="s">
        <v>144</v>
      </c>
      <c r="I102" s="21"/>
      <c r="J102" s="13"/>
      <c r="L102" s="26">
        <f>Table1345678101112131415161718192021222324252627283031323334[[#This Row],[الدولار]]+(Table1345678101112131415161718192021222324252627283031323334[[#This Row],[اللبناني]]/90)</f>
        <v>0</v>
      </c>
      <c r="M102" s="6"/>
    </row>
    <row r="103" spans="8:13" s="8" customFormat="1" x14ac:dyDescent="0.3">
      <c r="H103" s="5" t="s">
        <v>144</v>
      </c>
      <c r="I103" s="21"/>
      <c r="J103" s="13"/>
      <c r="L103" s="26">
        <f>Table1345678101112131415161718192021222324252627283031323334[[#This Row],[الدولار]]+(Table1345678101112131415161718192021222324252627283031323334[[#This Row],[اللبناني]]/90)</f>
        <v>0</v>
      </c>
      <c r="M103" s="6"/>
    </row>
    <row r="104" spans="8:13" s="8" customFormat="1" x14ac:dyDescent="0.3">
      <c r="H104" s="5" t="s">
        <v>144</v>
      </c>
      <c r="I104" s="21"/>
      <c r="J104" s="13"/>
      <c r="L104" s="26">
        <f>Table1345678101112131415161718192021222324252627283031323334[[#This Row],[الدولار]]+(Table1345678101112131415161718192021222324252627283031323334[[#This Row],[اللبناني]]/90)</f>
        <v>0</v>
      </c>
      <c r="M104" s="6"/>
    </row>
    <row r="105" spans="8:13" s="8" customFormat="1" x14ac:dyDescent="0.3">
      <c r="H105" s="5" t="s">
        <v>144</v>
      </c>
      <c r="I105" s="21"/>
      <c r="J105" s="13"/>
      <c r="L105" s="26">
        <f>Table1345678101112131415161718192021222324252627283031323334[[#This Row],[الدولار]]+(Table1345678101112131415161718192021222324252627283031323334[[#This Row],[اللبناني]]/90)</f>
        <v>0</v>
      </c>
      <c r="M105" s="6"/>
    </row>
    <row r="106" spans="8:13" s="8" customFormat="1" x14ac:dyDescent="0.3">
      <c r="H106" s="5" t="s">
        <v>144</v>
      </c>
      <c r="I106" s="21"/>
      <c r="J106" s="13"/>
      <c r="L106" s="26">
        <f>Table1345678101112131415161718192021222324252627283031323334[[#This Row],[الدولار]]+(Table1345678101112131415161718192021222324252627283031323334[[#This Row],[اللبناني]]/90)</f>
        <v>0</v>
      </c>
      <c r="M106" s="6"/>
    </row>
    <row r="107" spans="8:13" s="8" customFormat="1" x14ac:dyDescent="0.3">
      <c r="H107" s="5" t="s">
        <v>144</v>
      </c>
      <c r="I107" s="21"/>
      <c r="J107" s="13"/>
      <c r="L107" s="26">
        <f>Table1345678101112131415161718192021222324252627283031323334[[#This Row],[الدولار]]+(Table1345678101112131415161718192021222324252627283031323334[[#This Row],[اللبناني]]/90)</f>
        <v>0</v>
      </c>
      <c r="M107" s="6"/>
    </row>
    <row r="108" spans="8:13" s="8" customFormat="1" x14ac:dyDescent="0.3">
      <c r="H108" s="5" t="s">
        <v>144</v>
      </c>
      <c r="I108" s="21"/>
      <c r="J108" s="13"/>
      <c r="L108" s="26">
        <f>Table1345678101112131415161718192021222324252627283031323334[[#This Row],[الدولار]]+(Table1345678101112131415161718192021222324252627283031323334[[#This Row],[اللبناني]]/90)</f>
        <v>0</v>
      </c>
      <c r="M108" s="6"/>
    </row>
    <row r="109" spans="8:13" s="8" customFormat="1" x14ac:dyDescent="0.3">
      <c r="H109" s="5" t="s">
        <v>144</v>
      </c>
      <c r="I109" s="21"/>
      <c r="J109" s="13"/>
      <c r="L109" s="26">
        <f>Table1345678101112131415161718192021222324252627283031323334[[#This Row],[الدولار]]+(Table1345678101112131415161718192021222324252627283031323334[[#This Row],[اللبناني]]/90)</f>
        <v>0</v>
      </c>
      <c r="M109" s="6"/>
    </row>
    <row r="110" spans="8:13" s="8" customFormat="1" x14ac:dyDescent="0.3">
      <c r="H110" s="5" t="s">
        <v>144</v>
      </c>
      <c r="I110" s="21"/>
      <c r="J110" s="13"/>
      <c r="L110" s="26">
        <f>Table1345678101112131415161718192021222324252627283031323334[[#This Row],[الدولار]]+(Table1345678101112131415161718192021222324252627283031323334[[#This Row],[اللبناني]]/90)</f>
        <v>0</v>
      </c>
      <c r="M110" s="6"/>
    </row>
    <row r="111" spans="8:13" s="8" customFormat="1" x14ac:dyDescent="0.3">
      <c r="H111" s="5" t="s">
        <v>144</v>
      </c>
      <c r="I111" s="21"/>
      <c r="J111" s="13"/>
      <c r="L111" s="26">
        <f>Table1345678101112131415161718192021222324252627283031323334[[#This Row],[الدولار]]+(Table1345678101112131415161718192021222324252627283031323334[[#This Row],[اللبناني]]/90)</f>
        <v>0</v>
      </c>
      <c r="M111" s="6"/>
    </row>
    <row r="112" spans="8:13" s="8" customFormat="1" x14ac:dyDescent="0.3">
      <c r="H112" s="5" t="s">
        <v>144</v>
      </c>
      <c r="I112" s="21"/>
      <c r="J112" s="13"/>
      <c r="L112" s="26">
        <f>Table1345678101112131415161718192021222324252627283031323334[[#This Row],[الدولار]]+(Table1345678101112131415161718192021222324252627283031323334[[#This Row],[اللبناني]]/90)</f>
        <v>0</v>
      </c>
      <c r="M112" s="6"/>
    </row>
    <row r="113" spans="8:13" s="8" customFormat="1" x14ac:dyDescent="0.3">
      <c r="H113" s="5" t="s">
        <v>144</v>
      </c>
      <c r="I113" s="21"/>
      <c r="J113" s="13"/>
      <c r="L113" s="26">
        <f>Table1345678101112131415161718192021222324252627283031323334[[#This Row],[الدولار]]+(Table1345678101112131415161718192021222324252627283031323334[[#This Row],[اللبناني]]/90)</f>
        <v>0</v>
      </c>
      <c r="M113" s="6"/>
    </row>
    <row r="114" spans="8:13" s="8" customFormat="1" x14ac:dyDescent="0.3">
      <c r="H114" s="5" t="s">
        <v>144</v>
      </c>
      <c r="I114" s="21"/>
      <c r="J114" s="13"/>
      <c r="L114" s="26">
        <f>Table1345678101112131415161718192021222324252627283031323334[[#This Row],[الدولار]]+(Table1345678101112131415161718192021222324252627283031323334[[#This Row],[اللبناني]]/90)</f>
        <v>0</v>
      </c>
      <c r="M114" s="6"/>
    </row>
    <row r="115" spans="8:13" s="8" customFormat="1" x14ac:dyDescent="0.3">
      <c r="H115" s="5" t="s">
        <v>144</v>
      </c>
      <c r="I115" s="21"/>
      <c r="J115" s="13"/>
      <c r="L115" s="26">
        <f>Table1345678101112131415161718192021222324252627283031323334[[#This Row],[الدولار]]+(Table1345678101112131415161718192021222324252627283031323334[[#This Row],[اللبناني]]/90)</f>
        <v>0</v>
      </c>
      <c r="M115" s="6"/>
    </row>
    <row r="116" spans="8:13" s="8" customFormat="1" x14ac:dyDescent="0.3">
      <c r="H116" s="5" t="s">
        <v>144</v>
      </c>
      <c r="I116" s="21"/>
      <c r="J116" s="13"/>
      <c r="L116" s="26">
        <f>Table1345678101112131415161718192021222324252627283031323334[[#This Row],[الدولار]]+(Table1345678101112131415161718192021222324252627283031323334[[#This Row],[اللبناني]]/90)</f>
        <v>0</v>
      </c>
      <c r="M116" s="6"/>
    </row>
    <row r="117" spans="8:13" s="8" customFormat="1" x14ac:dyDescent="0.3">
      <c r="H117" s="5" t="s">
        <v>144</v>
      </c>
      <c r="I117" s="21"/>
      <c r="J117" s="13"/>
      <c r="L117" s="26">
        <f>Table1345678101112131415161718192021222324252627283031323334[[#This Row],[الدولار]]+(Table1345678101112131415161718192021222324252627283031323334[[#This Row],[اللبناني]]/90)</f>
        <v>0</v>
      </c>
      <c r="M117" s="6"/>
    </row>
    <row r="118" spans="8:13" s="8" customFormat="1" x14ac:dyDescent="0.3">
      <c r="H118" s="5" t="s">
        <v>144</v>
      </c>
      <c r="I118" s="21"/>
      <c r="J118" s="13"/>
      <c r="L118" s="26">
        <f>Table1345678101112131415161718192021222324252627283031323334[[#This Row],[الدولار]]+(Table1345678101112131415161718192021222324252627283031323334[[#This Row],[اللبناني]]/90)</f>
        <v>0</v>
      </c>
      <c r="M118" s="6"/>
    </row>
    <row r="119" spans="8:13" s="8" customFormat="1" x14ac:dyDescent="0.3">
      <c r="H119" s="5" t="s">
        <v>144</v>
      </c>
      <c r="I119" s="21"/>
      <c r="J119" s="13"/>
      <c r="L119" s="26">
        <f>Table1345678101112131415161718192021222324252627283031323334[[#This Row],[الدولار]]+(Table1345678101112131415161718192021222324252627283031323334[[#This Row],[اللبناني]]/90)</f>
        <v>0</v>
      </c>
      <c r="M119" s="6"/>
    </row>
    <row r="120" spans="8:13" s="8" customFormat="1" x14ac:dyDescent="0.3">
      <c r="H120" s="5" t="s">
        <v>144</v>
      </c>
      <c r="I120" s="21"/>
      <c r="J120" s="13"/>
      <c r="L120" s="26">
        <f>Table1345678101112131415161718192021222324252627283031323334[[#This Row],[الدولار]]+(Table1345678101112131415161718192021222324252627283031323334[[#This Row],[اللبناني]]/90)</f>
        <v>0</v>
      </c>
      <c r="M120" s="6"/>
    </row>
    <row r="121" spans="8:13" s="8" customFormat="1" x14ac:dyDescent="0.3">
      <c r="H121" s="5" t="s">
        <v>144</v>
      </c>
      <c r="I121" s="21"/>
      <c r="J121" s="13"/>
      <c r="L121" s="26">
        <f>Table1345678101112131415161718192021222324252627283031323334[[#This Row],[الدولار]]+(Table1345678101112131415161718192021222324252627283031323334[[#This Row],[اللبناني]]/90)</f>
        <v>0</v>
      </c>
      <c r="M121" s="6"/>
    </row>
    <row r="122" spans="8:13" s="8" customFormat="1" x14ac:dyDescent="0.3">
      <c r="H122" s="5" t="s">
        <v>144</v>
      </c>
      <c r="I122" s="21"/>
      <c r="J122" s="13"/>
      <c r="L122" s="26">
        <f>Table1345678101112131415161718192021222324252627283031323334[[#This Row],[الدولار]]+(Table1345678101112131415161718192021222324252627283031323334[[#This Row],[اللبناني]]/90)</f>
        <v>0</v>
      </c>
      <c r="M122" s="6"/>
    </row>
    <row r="123" spans="8:13" s="8" customFormat="1" x14ac:dyDescent="0.3">
      <c r="H123" s="5" t="s">
        <v>144</v>
      </c>
      <c r="I123" s="21"/>
      <c r="J123" s="13"/>
      <c r="L123" s="26">
        <f>Table1345678101112131415161718192021222324252627283031323334[[#This Row],[الدولار]]+(Table1345678101112131415161718192021222324252627283031323334[[#This Row],[اللبناني]]/90)</f>
        <v>0</v>
      </c>
      <c r="M123" s="6"/>
    </row>
    <row r="124" spans="8:13" s="8" customFormat="1" x14ac:dyDescent="0.3">
      <c r="H124" s="5" t="s">
        <v>144</v>
      </c>
      <c r="I124" s="21"/>
      <c r="J124" s="13"/>
      <c r="L124" s="26">
        <f>Table1345678101112131415161718192021222324252627283031323334[[#This Row],[الدولار]]+(Table1345678101112131415161718192021222324252627283031323334[[#This Row],[اللبناني]]/90)</f>
        <v>0</v>
      </c>
      <c r="M124" s="6"/>
    </row>
    <row r="125" spans="8:13" s="8" customFormat="1" x14ac:dyDescent="0.3">
      <c r="H125" s="5" t="s">
        <v>144</v>
      </c>
      <c r="I125" s="21"/>
      <c r="J125" s="13"/>
      <c r="L125" s="26">
        <f>Table1345678101112131415161718192021222324252627283031323334[[#This Row],[الدولار]]+(Table1345678101112131415161718192021222324252627283031323334[[#This Row],[اللبناني]]/90)</f>
        <v>0</v>
      </c>
      <c r="M125" s="6"/>
    </row>
    <row r="126" spans="8:13" s="8" customFormat="1" x14ac:dyDescent="0.3">
      <c r="H126" s="5" t="s">
        <v>144</v>
      </c>
      <c r="I126" s="21"/>
      <c r="J126" s="13"/>
      <c r="L126" s="26">
        <f>Table1345678101112131415161718192021222324252627283031323334[[#This Row],[الدولار]]+(Table1345678101112131415161718192021222324252627283031323334[[#This Row],[اللبناني]]/90)</f>
        <v>0</v>
      </c>
      <c r="M126" s="6"/>
    </row>
    <row r="127" spans="8:13" s="8" customFormat="1" x14ac:dyDescent="0.3">
      <c r="H127" s="5" t="s">
        <v>144</v>
      </c>
      <c r="I127" s="21"/>
      <c r="J127" s="13"/>
      <c r="L127" s="26">
        <f>Table1345678101112131415161718192021222324252627283031323334[[#This Row],[الدولار]]+(Table1345678101112131415161718192021222324252627283031323334[[#This Row],[اللبناني]]/90)</f>
        <v>0</v>
      </c>
      <c r="M127" s="6"/>
    </row>
    <row r="128" spans="8:13" s="8" customFormat="1" x14ac:dyDescent="0.3">
      <c r="H128" s="5" t="s">
        <v>144</v>
      </c>
      <c r="I128" s="21"/>
      <c r="J128" s="13"/>
      <c r="L128" s="26">
        <f>Table1345678101112131415161718192021222324252627283031323334[[#This Row],[الدولار]]+(Table1345678101112131415161718192021222324252627283031323334[[#This Row],[اللبناني]]/90)</f>
        <v>0</v>
      </c>
      <c r="M128" s="6"/>
    </row>
    <row r="129" spans="8:13" s="8" customFormat="1" x14ac:dyDescent="0.3">
      <c r="H129" s="5" t="s">
        <v>144</v>
      </c>
      <c r="I129" s="21"/>
      <c r="J129" s="13"/>
      <c r="L129" s="26">
        <f>Table1345678101112131415161718192021222324252627283031323334[[#This Row],[الدولار]]+(Table1345678101112131415161718192021222324252627283031323334[[#This Row],[اللبناني]]/90)</f>
        <v>0</v>
      </c>
      <c r="M129" s="6"/>
    </row>
    <row r="130" spans="8:13" s="8" customFormat="1" x14ac:dyDescent="0.3">
      <c r="H130" s="5" t="s">
        <v>144</v>
      </c>
      <c r="I130" s="21"/>
      <c r="J130" s="13"/>
      <c r="L130" s="26">
        <f>Table1345678101112131415161718192021222324252627283031323334[[#This Row],[الدولار]]+(Table1345678101112131415161718192021222324252627283031323334[[#This Row],[اللبناني]]/90)</f>
        <v>0</v>
      </c>
      <c r="M130" s="6"/>
    </row>
    <row r="131" spans="8:13" s="8" customFormat="1" x14ac:dyDescent="0.3">
      <c r="H131" s="5" t="s">
        <v>144</v>
      </c>
      <c r="I131" s="21"/>
      <c r="J131" s="13"/>
      <c r="L131" s="26">
        <f>Table1345678101112131415161718192021222324252627283031323334[[#This Row],[الدولار]]+(Table1345678101112131415161718192021222324252627283031323334[[#This Row],[اللبناني]]/90)</f>
        <v>0</v>
      </c>
      <c r="M131" s="6"/>
    </row>
    <row r="132" spans="8:13" s="8" customFormat="1" x14ac:dyDescent="0.3">
      <c r="H132" s="5" t="s">
        <v>144</v>
      </c>
      <c r="I132" s="21"/>
      <c r="J132" s="13"/>
      <c r="L132" s="26">
        <f>Table1345678101112131415161718192021222324252627283031323334[[#This Row],[الدولار]]+(Table1345678101112131415161718192021222324252627283031323334[[#This Row],[اللبناني]]/90)</f>
        <v>0</v>
      </c>
      <c r="M132" s="6"/>
    </row>
    <row r="133" spans="8:13" s="8" customFormat="1" x14ac:dyDescent="0.3">
      <c r="H133" s="5" t="s">
        <v>144</v>
      </c>
      <c r="I133" s="21"/>
      <c r="J133" s="13"/>
      <c r="L133" s="26">
        <f>Table1345678101112131415161718192021222324252627283031323334[[#This Row],[الدولار]]+(Table1345678101112131415161718192021222324252627283031323334[[#This Row],[اللبناني]]/90)</f>
        <v>0</v>
      </c>
      <c r="M133" s="6"/>
    </row>
    <row r="134" spans="8:13" s="8" customFormat="1" x14ac:dyDescent="0.3">
      <c r="H134" s="5" t="s">
        <v>144</v>
      </c>
      <c r="I134" s="21"/>
      <c r="J134" s="13"/>
      <c r="L134" s="26">
        <f>Table1345678101112131415161718192021222324252627283031323334[[#This Row],[الدولار]]+(Table1345678101112131415161718192021222324252627283031323334[[#This Row],[اللبناني]]/90)</f>
        <v>0</v>
      </c>
      <c r="M134" s="6"/>
    </row>
    <row r="135" spans="8:13" s="8" customFormat="1" x14ac:dyDescent="0.3">
      <c r="H135" s="5" t="s">
        <v>144</v>
      </c>
      <c r="I135" s="21"/>
      <c r="J135" s="13"/>
      <c r="L135" s="26">
        <f>Table1345678101112131415161718192021222324252627283031323334[[#This Row],[الدولار]]+(Table1345678101112131415161718192021222324252627283031323334[[#This Row],[اللبناني]]/90)</f>
        <v>0</v>
      </c>
      <c r="M135" s="6"/>
    </row>
    <row r="136" spans="8:13" s="8" customFormat="1" x14ac:dyDescent="0.3">
      <c r="H136" s="5" t="s">
        <v>144</v>
      </c>
      <c r="I136" s="21"/>
      <c r="J136" s="13"/>
      <c r="L136" s="26">
        <f>Table1345678101112131415161718192021222324252627283031323334[[#This Row],[الدولار]]+(Table1345678101112131415161718192021222324252627283031323334[[#This Row],[اللبناني]]/90)</f>
        <v>0</v>
      </c>
      <c r="M136" s="6"/>
    </row>
    <row r="137" spans="8:13" s="8" customFormat="1" x14ac:dyDescent="0.3">
      <c r="H137" s="5" t="s">
        <v>144</v>
      </c>
      <c r="I137" s="21"/>
      <c r="J137" s="13"/>
      <c r="L137" s="26">
        <f>Table1345678101112131415161718192021222324252627283031323334[[#This Row],[الدولار]]+(Table1345678101112131415161718192021222324252627283031323334[[#This Row],[اللبناني]]/90)</f>
        <v>0</v>
      </c>
      <c r="M137" s="6"/>
    </row>
    <row r="138" spans="8:13" s="8" customFormat="1" x14ac:dyDescent="0.3">
      <c r="H138" s="5" t="s">
        <v>144</v>
      </c>
      <c r="I138" s="21"/>
      <c r="J138" s="13"/>
      <c r="L138" s="26">
        <f>Table1345678101112131415161718192021222324252627283031323334[[#This Row],[الدولار]]+(Table1345678101112131415161718192021222324252627283031323334[[#This Row],[اللبناني]]/90)</f>
        <v>0</v>
      </c>
      <c r="M138" s="6"/>
    </row>
    <row r="139" spans="8:13" s="8" customFormat="1" x14ac:dyDescent="0.3">
      <c r="H139" s="5" t="s">
        <v>144</v>
      </c>
      <c r="I139" s="21"/>
      <c r="J139" s="13"/>
      <c r="L139" s="26">
        <f>Table1345678101112131415161718192021222324252627283031323334[[#This Row],[الدولار]]+(Table1345678101112131415161718192021222324252627283031323334[[#This Row],[اللبناني]]/90)</f>
        <v>0</v>
      </c>
      <c r="M139" s="6"/>
    </row>
    <row r="140" spans="8:13" s="8" customFormat="1" x14ac:dyDescent="0.3">
      <c r="H140" s="5" t="s">
        <v>144</v>
      </c>
      <c r="I140" s="21"/>
      <c r="J140" s="13"/>
      <c r="L140" s="26">
        <f>Table1345678101112131415161718192021222324252627283031323334[[#This Row],[الدولار]]+(Table1345678101112131415161718192021222324252627283031323334[[#This Row],[اللبناني]]/90)</f>
        <v>0</v>
      </c>
      <c r="M140" s="6"/>
    </row>
    <row r="141" spans="8:13" s="8" customFormat="1" x14ac:dyDescent="0.3">
      <c r="H141" s="5" t="s">
        <v>144</v>
      </c>
      <c r="I141" s="21"/>
      <c r="J141" s="13"/>
      <c r="L141" s="26">
        <f>Table1345678101112131415161718192021222324252627283031323334[[#This Row],[الدولار]]+(Table1345678101112131415161718192021222324252627283031323334[[#This Row],[اللبناني]]/90)</f>
        <v>0</v>
      </c>
      <c r="M141" s="6"/>
    </row>
    <row r="142" spans="8:13" s="8" customFormat="1" x14ac:dyDescent="0.3">
      <c r="H142" s="5" t="s">
        <v>144</v>
      </c>
      <c r="I142" s="21"/>
      <c r="J142" s="13"/>
      <c r="L142" s="26">
        <f>Table1345678101112131415161718192021222324252627283031323334[[#This Row],[الدولار]]+(Table1345678101112131415161718192021222324252627283031323334[[#This Row],[اللبناني]]/90)</f>
        <v>0</v>
      </c>
      <c r="M142" s="6"/>
    </row>
    <row r="143" spans="8:13" s="8" customFormat="1" x14ac:dyDescent="0.3">
      <c r="H143" s="5" t="s">
        <v>144</v>
      </c>
      <c r="I143" s="21"/>
      <c r="J143" s="13"/>
      <c r="L143" s="26">
        <f>Table1345678101112131415161718192021222324252627283031323334[[#This Row],[الدولار]]+(Table1345678101112131415161718192021222324252627283031323334[[#This Row],[اللبناني]]/90)</f>
        <v>0</v>
      </c>
      <c r="M143" s="6"/>
    </row>
    <row r="144" spans="8:13" s="8" customFormat="1" x14ac:dyDescent="0.3">
      <c r="H144" s="5" t="s">
        <v>144</v>
      </c>
      <c r="I144" s="21"/>
      <c r="J144" s="13"/>
      <c r="L144" s="26">
        <f>Table1345678101112131415161718192021222324252627283031323334[[#This Row],[الدولار]]+(Table1345678101112131415161718192021222324252627283031323334[[#This Row],[اللبناني]]/90)</f>
        <v>0</v>
      </c>
      <c r="M144" s="6"/>
    </row>
    <row r="145" spans="8:13" s="8" customFormat="1" x14ac:dyDescent="0.3">
      <c r="H145" s="5" t="s">
        <v>144</v>
      </c>
      <c r="I145" s="21"/>
      <c r="J145" s="13"/>
      <c r="L145" s="26">
        <f>Table1345678101112131415161718192021222324252627283031323334[[#This Row],[الدولار]]+(Table1345678101112131415161718192021222324252627283031323334[[#This Row],[اللبناني]]/90)</f>
        <v>0</v>
      </c>
      <c r="M145" s="6"/>
    </row>
    <row r="146" spans="8:13" s="8" customFormat="1" x14ac:dyDescent="0.3">
      <c r="H146" s="5" t="s">
        <v>144</v>
      </c>
      <c r="I146" s="21"/>
      <c r="J146" s="13"/>
      <c r="L146" s="26">
        <f>Table1345678101112131415161718192021222324252627283031323334[[#This Row],[الدولار]]+(Table1345678101112131415161718192021222324252627283031323334[[#This Row],[اللبناني]]/90)</f>
        <v>0</v>
      </c>
      <c r="M146" s="6"/>
    </row>
    <row r="147" spans="8:13" s="8" customFormat="1" x14ac:dyDescent="0.3">
      <c r="H147" s="5" t="s">
        <v>144</v>
      </c>
      <c r="I147" s="21"/>
      <c r="J147" s="13"/>
      <c r="L147" s="26">
        <f>Table1345678101112131415161718192021222324252627283031323334[[#This Row],[الدولار]]+(Table1345678101112131415161718192021222324252627283031323334[[#This Row],[اللبناني]]/90)</f>
        <v>0</v>
      </c>
      <c r="M147" s="6"/>
    </row>
    <row r="148" spans="8:13" s="8" customFormat="1" x14ac:dyDescent="0.3">
      <c r="H148" s="5" t="s">
        <v>144</v>
      </c>
      <c r="I148" s="21"/>
      <c r="J148" s="13"/>
      <c r="L148" s="26">
        <f>Table1345678101112131415161718192021222324252627283031323334[[#This Row],[الدولار]]+(Table1345678101112131415161718192021222324252627283031323334[[#This Row],[اللبناني]]/90)</f>
        <v>0</v>
      </c>
      <c r="M148" s="6"/>
    </row>
    <row r="149" spans="8:13" s="8" customFormat="1" x14ac:dyDescent="0.3">
      <c r="H149" s="5" t="s">
        <v>144</v>
      </c>
      <c r="I149" s="21"/>
      <c r="J149" s="13"/>
      <c r="L149" s="26">
        <f>Table1345678101112131415161718192021222324252627283031323334[[#This Row],[الدولار]]+(Table1345678101112131415161718192021222324252627283031323334[[#This Row],[اللبناني]]/90)</f>
        <v>0</v>
      </c>
      <c r="M149" s="6"/>
    </row>
    <row r="150" spans="8:13" s="8" customFormat="1" x14ac:dyDescent="0.3">
      <c r="H150" s="5" t="s">
        <v>144</v>
      </c>
      <c r="I150" s="21"/>
      <c r="J150" s="13"/>
      <c r="L150" s="26">
        <f>Table1345678101112131415161718192021222324252627283031323334[[#This Row],[الدولار]]+(Table1345678101112131415161718192021222324252627283031323334[[#This Row],[اللبناني]]/90)</f>
        <v>0</v>
      </c>
      <c r="M150" s="6"/>
    </row>
    <row r="151" spans="8:13" s="8" customFormat="1" x14ac:dyDescent="0.3">
      <c r="H151" s="5" t="s">
        <v>144</v>
      </c>
      <c r="I151" s="21"/>
      <c r="J151" s="13"/>
      <c r="L151" s="26">
        <f>Table1345678101112131415161718192021222324252627283031323334[[#This Row],[الدولار]]+(Table1345678101112131415161718192021222324252627283031323334[[#This Row],[اللبناني]]/90)</f>
        <v>0</v>
      </c>
      <c r="M151" s="6"/>
    </row>
    <row r="152" spans="8:13" s="8" customFormat="1" x14ac:dyDescent="0.3">
      <c r="H152" s="5" t="s">
        <v>144</v>
      </c>
      <c r="I152" s="21"/>
      <c r="J152" s="13"/>
      <c r="L152" s="26">
        <f>Table1345678101112131415161718192021222324252627283031323334[[#This Row],[الدولار]]+(Table1345678101112131415161718192021222324252627283031323334[[#This Row],[اللبناني]]/90)</f>
        <v>0</v>
      </c>
      <c r="M152" s="6"/>
    </row>
    <row r="153" spans="8:13" s="8" customFormat="1" x14ac:dyDescent="0.3">
      <c r="H153" s="5" t="s">
        <v>144</v>
      </c>
      <c r="I153" s="21"/>
      <c r="J153" s="13"/>
      <c r="L153" s="26">
        <f>Table1345678101112131415161718192021222324252627283031323334[[#This Row],[الدولار]]+(Table1345678101112131415161718192021222324252627283031323334[[#This Row],[اللبناني]]/90)</f>
        <v>0</v>
      </c>
      <c r="M153" s="6"/>
    </row>
    <row r="154" spans="8:13" s="8" customFormat="1" x14ac:dyDescent="0.3">
      <c r="H154" s="5" t="s">
        <v>144</v>
      </c>
      <c r="I154" s="21"/>
      <c r="J154" s="13"/>
      <c r="L154" s="26">
        <f>Table1345678101112131415161718192021222324252627283031323334[[#This Row],[الدولار]]+(Table1345678101112131415161718192021222324252627283031323334[[#This Row],[اللبناني]]/90)</f>
        <v>0</v>
      </c>
      <c r="M154" s="6"/>
    </row>
    <row r="155" spans="8:13" s="8" customFormat="1" x14ac:dyDescent="0.3">
      <c r="H155" s="5" t="s">
        <v>144</v>
      </c>
      <c r="I155" s="21"/>
      <c r="J155" s="13"/>
      <c r="L155" s="26">
        <f>Table1345678101112131415161718192021222324252627283031323334[[#This Row],[الدولار]]+(Table1345678101112131415161718192021222324252627283031323334[[#This Row],[اللبناني]]/90)</f>
        <v>0</v>
      </c>
      <c r="M155" s="6"/>
    </row>
    <row r="156" spans="8:13" s="8" customFormat="1" x14ac:dyDescent="0.3">
      <c r="H156" s="5" t="s">
        <v>144</v>
      </c>
      <c r="I156" s="21"/>
      <c r="J156" s="13"/>
      <c r="L156" s="26">
        <f>Table1345678101112131415161718192021222324252627283031323334[[#This Row],[الدولار]]+(Table1345678101112131415161718192021222324252627283031323334[[#This Row],[اللبناني]]/90)</f>
        <v>0</v>
      </c>
      <c r="M156" s="6"/>
    </row>
    <row r="157" spans="8:13" s="8" customFormat="1" x14ac:dyDescent="0.3">
      <c r="H157" s="5" t="s">
        <v>144</v>
      </c>
      <c r="I157" s="21"/>
      <c r="J157" s="13"/>
      <c r="L157" s="26">
        <f>Table1345678101112131415161718192021222324252627283031323334[[#This Row],[الدولار]]+(Table1345678101112131415161718192021222324252627283031323334[[#This Row],[اللبناني]]/90)</f>
        <v>0</v>
      </c>
      <c r="M157" s="6"/>
    </row>
    <row r="158" spans="8:13" s="8" customFormat="1" x14ac:dyDescent="0.3">
      <c r="H158" s="5" t="s">
        <v>144</v>
      </c>
      <c r="I158" s="21"/>
      <c r="J158" s="13"/>
      <c r="L158" s="26">
        <f>Table1345678101112131415161718192021222324252627283031323334[[#This Row],[الدولار]]+(Table1345678101112131415161718192021222324252627283031323334[[#This Row],[اللبناني]]/90)</f>
        <v>0</v>
      </c>
      <c r="M158" s="6"/>
    </row>
    <row r="159" spans="8:13" s="8" customFormat="1" x14ac:dyDescent="0.3">
      <c r="H159" s="5" t="s">
        <v>144</v>
      </c>
      <c r="I159" s="21"/>
      <c r="J159" s="13"/>
      <c r="L159" s="26">
        <f>Table1345678101112131415161718192021222324252627283031323334[[#This Row],[الدولار]]+(Table1345678101112131415161718192021222324252627283031323334[[#This Row],[اللبناني]]/90)</f>
        <v>0</v>
      </c>
      <c r="M159" s="6"/>
    </row>
    <row r="160" spans="8:13" s="8" customFormat="1" x14ac:dyDescent="0.3">
      <c r="H160" s="5" t="s">
        <v>144</v>
      </c>
      <c r="I160" s="21"/>
      <c r="J160" s="13"/>
      <c r="L160" s="26">
        <f>Table1345678101112131415161718192021222324252627283031323334[[#This Row],[الدولار]]+(Table1345678101112131415161718192021222324252627283031323334[[#This Row],[اللبناني]]/90)</f>
        <v>0</v>
      </c>
      <c r="M160" s="6"/>
    </row>
    <row r="161" spans="8:13" s="8" customFormat="1" x14ac:dyDescent="0.3">
      <c r="H161" s="5" t="s">
        <v>144</v>
      </c>
      <c r="I161" s="21"/>
      <c r="J161" s="13"/>
      <c r="L161" s="26">
        <f>Table1345678101112131415161718192021222324252627283031323334[[#This Row],[الدولار]]+(Table1345678101112131415161718192021222324252627283031323334[[#This Row],[اللبناني]]/90)</f>
        <v>0</v>
      </c>
      <c r="M161" s="6"/>
    </row>
    <row r="162" spans="8:13" s="8" customFormat="1" x14ac:dyDescent="0.3">
      <c r="H162" s="5" t="s">
        <v>144</v>
      </c>
      <c r="I162" s="21"/>
      <c r="J162" s="13"/>
      <c r="L162" s="26">
        <f>Table1345678101112131415161718192021222324252627283031323334[[#This Row],[الدولار]]+(Table1345678101112131415161718192021222324252627283031323334[[#This Row],[اللبناني]]/90)</f>
        <v>0</v>
      </c>
      <c r="M162" s="6"/>
    </row>
    <row r="163" spans="8:13" s="8" customFormat="1" x14ac:dyDescent="0.3">
      <c r="H163" s="5" t="s">
        <v>144</v>
      </c>
      <c r="I163" s="21"/>
      <c r="J163" s="13"/>
      <c r="L163" s="26">
        <f>Table1345678101112131415161718192021222324252627283031323334[[#This Row],[الدولار]]+(Table1345678101112131415161718192021222324252627283031323334[[#This Row],[اللبناني]]/90)</f>
        <v>0</v>
      </c>
      <c r="M163" s="6"/>
    </row>
    <row r="164" spans="8:13" s="8" customFormat="1" x14ac:dyDescent="0.3">
      <c r="H164" s="5" t="s">
        <v>144</v>
      </c>
      <c r="I164" s="21"/>
      <c r="J164" s="13"/>
      <c r="L164" s="26">
        <f>Table1345678101112131415161718192021222324252627283031323334[[#This Row],[الدولار]]+(Table1345678101112131415161718192021222324252627283031323334[[#This Row],[اللبناني]]/90)</f>
        <v>0</v>
      </c>
      <c r="M164" s="6"/>
    </row>
    <row r="165" spans="8:13" s="8" customFormat="1" x14ac:dyDescent="0.3">
      <c r="H165" s="5" t="s">
        <v>144</v>
      </c>
      <c r="I165" s="21"/>
      <c r="J165" s="13"/>
      <c r="L165" s="26">
        <f>Table1345678101112131415161718192021222324252627283031323334[[#This Row],[الدولار]]+(Table1345678101112131415161718192021222324252627283031323334[[#This Row],[اللبناني]]/90)</f>
        <v>0</v>
      </c>
      <c r="M165" s="6"/>
    </row>
    <row r="166" spans="8:13" s="8" customFormat="1" x14ac:dyDescent="0.3">
      <c r="H166" s="5" t="s">
        <v>144</v>
      </c>
      <c r="I166" s="21"/>
      <c r="J166" s="13"/>
      <c r="L166" s="26">
        <f>Table1345678101112131415161718192021222324252627283031323334[[#This Row],[الدولار]]+(Table1345678101112131415161718192021222324252627283031323334[[#This Row],[اللبناني]]/90)</f>
        <v>0</v>
      </c>
      <c r="M166" s="6"/>
    </row>
    <row r="167" spans="8:13" s="8" customFormat="1" x14ac:dyDescent="0.3">
      <c r="H167" s="5" t="s">
        <v>144</v>
      </c>
      <c r="I167" s="21"/>
      <c r="J167" s="13"/>
      <c r="L167" s="26">
        <f>Table1345678101112131415161718192021222324252627283031323334[[#This Row],[الدولار]]+(Table1345678101112131415161718192021222324252627283031323334[[#This Row],[اللبناني]]/90)</f>
        <v>0</v>
      </c>
      <c r="M167" s="6"/>
    </row>
    <row r="168" spans="8:13" s="8" customFormat="1" x14ac:dyDescent="0.3">
      <c r="H168" s="5" t="s">
        <v>144</v>
      </c>
      <c r="I168" s="21"/>
      <c r="J168" s="13"/>
      <c r="L168" s="26">
        <f>Table1345678101112131415161718192021222324252627283031323334[[#This Row],[الدولار]]+(Table1345678101112131415161718192021222324252627283031323334[[#This Row],[اللبناني]]/90)</f>
        <v>0</v>
      </c>
      <c r="M168" s="6"/>
    </row>
    <row r="169" spans="8:13" s="8" customFormat="1" x14ac:dyDescent="0.3">
      <c r="H169" s="5" t="s">
        <v>144</v>
      </c>
      <c r="I169" s="21"/>
      <c r="J169" s="13"/>
      <c r="L169" s="26">
        <f>Table1345678101112131415161718192021222324252627283031323334[[#This Row],[الدولار]]+(Table1345678101112131415161718192021222324252627283031323334[[#This Row],[اللبناني]]/90)</f>
        <v>0</v>
      </c>
      <c r="M169" s="6"/>
    </row>
    <row r="170" spans="8:13" s="8" customFormat="1" x14ac:dyDescent="0.3">
      <c r="H170" s="5" t="s">
        <v>144</v>
      </c>
      <c r="I170" s="21"/>
      <c r="J170" s="13"/>
      <c r="L170" s="26">
        <f>Table1345678101112131415161718192021222324252627283031323334[[#This Row],[الدولار]]+(Table1345678101112131415161718192021222324252627283031323334[[#This Row],[اللبناني]]/90)</f>
        <v>0</v>
      </c>
      <c r="M170" s="6"/>
    </row>
    <row r="171" spans="8:13" s="8" customFormat="1" x14ac:dyDescent="0.3">
      <c r="H171" s="5" t="s">
        <v>144</v>
      </c>
      <c r="I171" s="21"/>
      <c r="J171" s="13"/>
      <c r="L171" s="26">
        <f>Table1345678101112131415161718192021222324252627283031323334[[#This Row],[الدولار]]+(Table1345678101112131415161718192021222324252627283031323334[[#This Row],[اللبناني]]/90)</f>
        <v>0</v>
      </c>
      <c r="M171" s="6"/>
    </row>
    <row r="172" spans="8:13" s="8" customFormat="1" x14ac:dyDescent="0.3">
      <c r="H172" s="5" t="s">
        <v>144</v>
      </c>
      <c r="I172" s="21"/>
      <c r="J172" s="13"/>
      <c r="L172" s="26">
        <f>Table1345678101112131415161718192021222324252627283031323334[[#This Row],[الدولار]]+(Table1345678101112131415161718192021222324252627283031323334[[#This Row],[اللبناني]]/90)</f>
        <v>0</v>
      </c>
      <c r="M172" s="6"/>
    </row>
    <row r="173" spans="8:13" s="8" customFormat="1" x14ac:dyDescent="0.3">
      <c r="H173" s="5" t="s">
        <v>144</v>
      </c>
      <c r="I173" s="21"/>
      <c r="J173" s="13"/>
      <c r="L173" s="26">
        <f>Table1345678101112131415161718192021222324252627283031323334[[#This Row],[الدولار]]+(Table1345678101112131415161718192021222324252627283031323334[[#This Row],[اللبناني]]/90)</f>
        <v>0</v>
      </c>
      <c r="M173" s="6"/>
    </row>
    <row r="174" spans="8:13" s="8" customFormat="1" x14ac:dyDescent="0.3">
      <c r="H174" s="5" t="s">
        <v>144</v>
      </c>
      <c r="I174" s="21"/>
      <c r="J174" s="13"/>
      <c r="L174" s="26">
        <f>Table1345678101112131415161718192021222324252627283031323334[[#This Row],[الدولار]]+(Table1345678101112131415161718192021222324252627283031323334[[#This Row],[اللبناني]]/90)</f>
        <v>0</v>
      </c>
      <c r="M174" s="6"/>
    </row>
    <row r="175" spans="8:13" s="8" customFormat="1" x14ac:dyDescent="0.3">
      <c r="H175" s="5" t="s">
        <v>144</v>
      </c>
      <c r="I175" s="21"/>
      <c r="J175" s="13"/>
      <c r="L175" s="26">
        <f>Table1345678101112131415161718192021222324252627283031323334[[#This Row],[الدولار]]+(Table1345678101112131415161718192021222324252627283031323334[[#This Row],[اللبناني]]/90)</f>
        <v>0</v>
      </c>
      <c r="M175" s="6"/>
    </row>
    <row r="176" spans="8:13" s="8" customFormat="1" x14ac:dyDescent="0.3">
      <c r="H176" s="5" t="s">
        <v>144</v>
      </c>
      <c r="I176" s="21"/>
      <c r="J176" s="13"/>
      <c r="L176" s="26">
        <f>Table1345678101112131415161718192021222324252627283031323334[[#This Row],[الدولار]]+(Table1345678101112131415161718192021222324252627283031323334[[#This Row],[اللبناني]]/90)</f>
        <v>0</v>
      </c>
      <c r="M176" s="6"/>
    </row>
    <row r="177" spans="8:13" s="8" customFormat="1" x14ac:dyDescent="0.3">
      <c r="H177" s="5" t="s">
        <v>144</v>
      </c>
      <c r="I177" s="21"/>
      <c r="J177" s="13"/>
      <c r="L177" s="26">
        <f>Table1345678101112131415161718192021222324252627283031323334[[#This Row],[الدولار]]+(Table1345678101112131415161718192021222324252627283031323334[[#This Row],[اللبناني]]/90)</f>
        <v>0</v>
      </c>
      <c r="M177" s="6"/>
    </row>
    <row r="178" spans="8:13" s="8" customFormat="1" x14ac:dyDescent="0.3">
      <c r="H178" s="5" t="s">
        <v>144</v>
      </c>
      <c r="I178" s="21"/>
      <c r="J178" s="13"/>
      <c r="L178" s="26">
        <f>Table1345678101112131415161718192021222324252627283031323334[[#This Row],[الدولار]]+(Table1345678101112131415161718192021222324252627283031323334[[#This Row],[اللبناني]]/90)</f>
        <v>0</v>
      </c>
      <c r="M178" s="6"/>
    </row>
    <row r="179" spans="8:13" s="8" customFormat="1" x14ac:dyDescent="0.3">
      <c r="H179" s="5" t="s">
        <v>144</v>
      </c>
      <c r="I179" s="21"/>
      <c r="J179" s="13"/>
      <c r="L179" s="26">
        <f>Table1345678101112131415161718192021222324252627283031323334[[#This Row],[الدولار]]+(Table1345678101112131415161718192021222324252627283031323334[[#This Row],[اللبناني]]/90)</f>
        <v>0</v>
      </c>
      <c r="M179" s="6"/>
    </row>
    <row r="180" spans="8:13" s="8" customFormat="1" x14ac:dyDescent="0.3">
      <c r="H180" s="5" t="s">
        <v>144</v>
      </c>
      <c r="I180" s="21"/>
      <c r="J180" s="13"/>
      <c r="L180" s="26">
        <f>Table1345678101112131415161718192021222324252627283031323334[[#This Row],[الدولار]]+(Table1345678101112131415161718192021222324252627283031323334[[#This Row],[اللبناني]]/90)</f>
        <v>0</v>
      </c>
      <c r="M180" s="6"/>
    </row>
    <row r="181" spans="8:13" s="8" customFormat="1" x14ac:dyDescent="0.3">
      <c r="H181" s="5" t="s">
        <v>144</v>
      </c>
      <c r="I181" s="21"/>
      <c r="J181" s="13"/>
      <c r="L181" s="26">
        <f>Table1345678101112131415161718192021222324252627283031323334[[#This Row],[الدولار]]+(Table1345678101112131415161718192021222324252627283031323334[[#This Row],[اللبناني]]/90)</f>
        <v>0</v>
      </c>
      <c r="M181" s="6"/>
    </row>
    <row r="182" spans="8:13" s="8" customFormat="1" x14ac:dyDescent="0.3">
      <c r="H182" s="5" t="s">
        <v>144</v>
      </c>
      <c r="I182" s="21"/>
      <c r="J182" s="13"/>
      <c r="L182" s="26">
        <f>Table1345678101112131415161718192021222324252627283031323334[[#This Row],[الدولار]]+(Table1345678101112131415161718192021222324252627283031323334[[#This Row],[اللبناني]]/90)</f>
        <v>0</v>
      </c>
      <c r="M182" s="6"/>
    </row>
    <row r="183" spans="8:13" s="8" customFormat="1" x14ac:dyDescent="0.3">
      <c r="H183" s="5" t="s">
        <v>144</v>
      </c>
      <c r="I183" s="21"/>
      <c r="J183" s="13"/>
      <c r="L183" s="26">
        <f>Table1345678101112131415161718192021222324252627283031323334[[#This Row],[الدولار]]+(Table1345678101112131415161718192021222324252627283031323334[[#This Row],[اللبناني]]/90)</f>
        <v>0</v>
      </c>
      <c r="M183" s="6"/>
    </row>
    <row r="184" spans="8:13" s="8" customFormat="1" x14ac:dyDescent="0.3">
      <c r="H184" s="5" t="s">
        <v>144</v>
      </c>
      <c r="I184" s="21"/>
      <c r="J184" s="13"/>
      <c r="L184" s="26">
        <f>Table1345678101112131415161718192021222324252627283031323334[[#This Row],[الدولار]]+(Table1345678101112131415161718192021222324252627283031323334[[#This Row],[اللبناني]]/90)</f>
        <v>0</v>
      </c>
      <c r="M184" s="6"/>
    </row>
    <row r="185" spans="8:13" s="8" customFormat="1" x14ac:dyDescent="0.3">
      <c r="H185" s="5" t="s">
        <v>144</v>
      </c>
      <c r="I185" s="21"/>
      <c r="J185" s="13"/>
      <c r="L185" s="26">
        <f>Table1345678101112131415161718192021222324252627283031323334[[#This Row],[الدولار]]+(Table1345678101112131415161718192021222324252627283031323334[[#This Row],[اللبناني]]/90)</f>
        <v>0</v>
      </c>
      <c r="M185" s="6"/>
    </row>
    <row r="186" spans="8:13" s="8" customFormat="1" x14ac:dyDescent="0.3">
      <c r="H186" s="5" t="s">
        <v>144</v>
      </c>
      <c r="I186" s="21"/>
      <c r="J186" s="13"/>
      <c r="L186" s="26">
        <f>Table1345678101112131415161718192021222324252627283031323334[[#This Row],[الدولار]]+(Table1345678101112131415161718192021222324252627283031323334[[#This Row],[اللبناني]]/90)</f>
        <v>0</v>
      </c>
      <c r="M186" s="6"/>
    </row>
    <row r="187" spans="8:13" s="8" customFormat="1" x14ac:dyDescent="0.3">
      <c r="H187" s="5" t="s">
        <v>144</v>
      </c>
      <c r="I187" s="21"/>
      <c r="J187" s="13"/>
      <c r="L187" s="26">
        <f>Table1345678101112131415161718192021222324252627283031323334[[#This Row],[الدولار]]+(Table1345678101112131415161718192021222324252627283031323334[[#This Row],[اللبناني]]/90)</f>
        <v>0</v>
      </c>
      <c r="M187" s="6"/>
    </row>
    <row r="188" spans="8:13" s="8" customFormat="1" x14ac:dyDescent="0.3">
      <c r="H188" s="5" t="s">
        <v>144</v>
      </c>
      <c r="I188" s="21"/>
      <c r="J188" s="13"/>
      <c r="L188" s="26">
        <f>Table1345678101112131415161718192021222324252627283031323334[[#This Row],[الدولار]]+(Table1345678101112131415161718192021222324252627283031323334[[#This Row],[اللبناني]]/90)</f>
        <v>0</v>
      </c>
      <c r="M188" s="6"/>
    </row>
    <row r="189" spans="8:13" s="8" customFormat="1" x14ac:dyDescent="0.3">
      <c r="H189" s="5" t="s">
        <v>144</v>
      </c>
      <c r="I189" s="21"/>
      <c r="J189" s="13"/>
      <c r="L189" s="26">
        <f>Table1345678101112131415161718192021222324252627283031323334[[#This Row],[الدولار]]+(Table1345678101112131415161718192021222324252627283031323334[[#This Row],[اللبناني]]/90)</f>
        <v>0</v>
      </c>
      <c r="M189" s="6"/>
    </row>
    <row r="190" spans="8:13" s="8" customFormat="1" x14ac:dyDescent="0.3">
      <c r="H190" s="5" t="s">
        <v>144</v>
      </c>
      <c r="I190" s="21"/>
      <c r="J190" s="13"/>
      <c r="L190" s="26">
        <f>Table1345678101112131415161718192021222324252627283031323334[[#This Row],[الدولار]]+(Table1345678101112131415161718192021222324252627283031323334[[#This Row],[اللبناني]]/90)</f>
        <v>0</v>
      </c>
      <c r="M190" s="6"/>
    </row>
    <row r="191" spans="8:13" s="8" customFormat="1" x14ac:dyDescent="0.3">
      <c r="H191" s="5" t="s">
        <v>144</v>
      </c>
      <c r="I191" s="21"/>
      <c r="J191" s="13"/>
      <c r="L191" s="26">
        <f>Table1345678101112131415161718192021222324252627283031323334[[#This Row],[الدولار]]+(Table1345678101112131415161718192021222324252627283031323334[[#This Row],[اللبناني]]/90)</f>
        <v>0</v>
      </c>
      <c r="M191" s="6"/>
    </row>
    <row r="192" spans="8:13" s="8" customFormat="1" x14ac:dyDescent="0.3">
      <c r="H192" s="5" t="s">
        <v>144</v>
      </c>
      <c r="I192" s="21"/>
      <c r="J192" s="13"/>
      <c r="L192" s="26">
        <f>Table1345678101112131415161718192021222324252627283031323334[[#This Row],[الدولار]]+(Table1345678101112131415161718192021222324252627283031323334[[#This Row],[اللبناني]]/90)</f>
        <v>0</v>
      </c>
      <c r="M192" s="6"/>
    </row>
    <row r="193" spans="8:13" s="8" customFormat="1" x14ac:dyDescent="0.3">
      <c r="H193" s="5" t="s">
        <v>144</v>
      </c>
      <c r="I193" s="21"/>
      <c r="J193" s="13"/>
      <c r="L193" s="26">
        <f>Table1345678101112131415161718192021222324252627283031323334[[#This Row],[الدولار]]+(Table1345678101112131415161718192021222324252627283031323334[[#This Row],[اللبناني]]/90)</f>
        <v>0</v>
      </c>
      <c r="M193" s="6"/>
    </row>
    <row r="194" spans="8:13" s="8" customFormat="1" x14ac:dyDescent="0.3">
      <c r="H194" s="5" t="s">
        <v>144</v>
      </c>
      <c r="I194" s="21"/>
      <c r="J194" s="13"/>
      <c r="L194" s="26">
        <f>Table1345678101112131415161718192021222324252627283031323334[[#This Row],[الدولار]]+(Table1345678101112131415161718192021222324252627283031323334[[#This Row],[اللبناني]]/90)</f>
        <v>0</v>
      </c>
      <c r="M194" s="6"/>
    </row>
    <row r="195" spans="8:13" s="8" customFormat="1" x14ac:dyDescent="0.3">
      <c r="H195" s="5" t="s">
        <v>144</v>
      </c>
      <c r="I195" s="21"/>
      <c r="J195" s="13"/>
      <c r="L195" s="26">
        <f>Table1345678101112131415161718192021222324252627283031323334[[#This Row],[الدولار]]+(Table1345678101112131415161718192021222324252627283031323334[[#This Row],[اللبناني]]/90)</f>
        <v>0</v>
      </c>
      <c r="M195" s="6"/>
    </row>
    <row r="196" spans="8:13" s="8" customFormat="1" x14ac:dyDescent="0.3">
      <c r="H196" s="5" t="s">
        <v>144</v>
      </c>
      <c r="I196" s="21"/>
      <c r="J196" s="13"/>
      <c r="L196" s="26">
        <f>Table1345678101112131415161718192021222324252627283031323334[[#This Row],[الدولار]]+(Table1345678101112131415161718192021222324252627283031323334[[#This Row],[اللبناني]]/90)</f>
        <v>0</v>
      </c>
      <c r="M196" s="6"/>
    </row>
    <row r="197" spans="8:13" s="8" customFormat="1" x14ac:dyDescent="0.3">
      <c r="H197" s="5" t="s">
        <v>144</v>
      </c>
      <c r="I197" s="21"/>
      <c r="J197" s="13"/>
      <c r="L197" s="26">
        <f>Table1345678101112131415161718192021222324252627283031323334[[#This Row],[الدولار]]+(Table1345678101112131415161718192021222324252627283031323334[[#This Row],[اللبناني]]/90)</f>
        <v>0</v>
      </c>
      <c r="M197" s="6"/>
    </row>
    <row r="198" spans="8:13" s="8" customFormat="1" x14ac:dyDescent="0.3">
      <c r="H198" s="5" t="s">
        <v>144</v>
      </c>
      <c r="I198" s="21"/>
      <c r="J198" s="13"/>
      <c r="L198" s="26">
        <f>Table1345678101112131415161718192021222324252627283031323334[[#This Row],[الدولار]]+(Table1345678101112131415161718192021222324252627283031323334[[#This Row],[اللبناني]]/90)</f>
        <v>0</v>
      </c>
      <c r="M198" s="6"/>
    </row>
    <row r="199" spans="8:13" s="8" customFormat="1" x14ac:dyDescent="0.3">
      <c r="H199" s="5" t="s">
        <v>144</v>
      </c>
      <c r="I199" s="21"/>
      <c r="J199" s="13"/>
      <c r="L199" s="26">
        <f>Table1345678101112131415161718192021222324252627283031323334[[#This Row],[الدولار]]+(Table1345678101112131415161718192021222324252627283031323334[[#This Row],[اللبناني]]/90)</f>
        <v>0</v>
      </c>
      <c r="M199" s="6"/>
    </row>
    <row r="200" spans="8:13" s="8" customFormat="1" x14ac:dyDescent="0.3">
      <c r="H200" s="5" t="s">
        <v>144</v>
      </c>
      <c r="I200" s="21"/>
      <c r="J200" s="13"/>
      <c r="L200" s="26">
        <f>Table1345678101112131415161718192021222324252627283031323334[[#This Row],[الدولار]]+(Table1345678101112131415161718192021222324252627283031323334[[#This Row],[اللبناني]]/90)</f>
        <v>0</v>
      </c>
      <c r="M200" s="6"/>
    </row>
    <row r="201" spans="8:13" s="8" customFormat="1" x14ac:dyDescent="0.3">
      <c r="H201" s="5" t="s">
        <v>144</v>
      </c>
      <c r="I201" s="21"/>
      <c r="J201" s="13"/>
      <c r="L201" s="26">
        <f>Table1345678101112131415161718192021222324252627283031323334[[#This Row],[الدولار]]+(Table1345678101112131415161718192021222324252627283031323334[[#This Row],[اللبناني]]/90)</f>
        <v>0</v>
      </c>
      <c r="M201" s="6"/>
    </row>
    <row r="202" spans="8:13" s="8" customFormat="1" x14ac:dyDescent="0.3">
      <c r="H202" s="5" t="s">
        <v>144</v>
      </c>
      <c r="I202" s="21"/>
      <c r="J202" s="13"/>
      <c r="L202" s="26">
        <f>Table1345678101112131415161718192021222324252627283031323334[[#This Row],[الدولار]]+(Table1345678101112131415161718192021222324252627283031323334[[#This Row],[اللبناني]]/90)</f>
        <v>0</v>
      </c>
      <c r="M202" s="6"/>
    </row>
    <row r="203" spans="8:13" s="8" customFormat="1" x14ac:dyDescent="0.3">
      <c r="H203" s="5" t="s">
        <v>144</v>
      </c>
      <c r="I203" s="21"/>
      <c r="J203" s="13"/>
      <c r="L203" s="26">
        <f>Table1345678101112131415161718192021222324252627283031323334[[#This Row],[الدولار]]+(Table1345678101112131415161718192021222324252627283031323334[[#This Row],[اللبناني]]/90)</f>
        <v>0</v>
      </c>
      <c r="M203" s="6"/>
    </row>
    <row r="204" spans="8:13" s="8" customFormat="1" x14ac:dyDescent="0.3">
      <c r="H204" s="5" t="s">
        <v>144</v>
      </c>
      <c r="I204" s="21"/>
      <c r="J204" s="13"/>
      <c r="L204" s="26">
        <f>Table1345678101112131415161718192021222324252627283031323334[[#This Row],[الدولار]]+(Table1345678101112131415161718192021222324252627283031323334[[#This Row],[اللبناني]]/90)</f>
        <v>0</v>
      </c>
      <c r="M204" s="6"/>
    </row>
    <row r="205" spans="8:13" s="8" customFormat="1" x14ac:dyDescent="0.3">
      <c r="H205" s="5" t="s">
        <v>144</v>
      </c>
      <c r="I205" s="21"/>
      <c r="J205" s="13"/>
      <c r="L205" s="26">
        <f>Table1345678101112131415161718192021222324252627283031323334[[#This Row],[الدولار]]+(Table1345678101112131415161718192021222324252627283031323334[[#This Row],[اللبناني]]/90)</f>
        <v>0</v>
      </c>
      <c r="M205" s="6"/>
    </row>
    <row r="206" spans="8:13" s="8" customFormat="1" x14ac:dyDescent="0.3">
      <c r="H206" s="5" t="s">
        <v>144</v>
      </c>
      <c r="I206" s="21"/>
      <c r="J206" s="13"/>
      <c r="L206" s="26">
        <f>Table1345678101112131415161718192021222324252627283031323334[[#This Row],[الدولار]]+(Table1345678101112131415161718192021222324252627283031323334[[#This Row],[اللبناني]]/90)</f>
        <v>0</v>
      </c>
      <c r="M206" s="6"/>
    </row>
    <row r="207" spans="8:13" s="8" customFormat="1" x14ac:dyDescent="0.3">
      <c r="H207" s="5" t="s">
        <v>144</v>
      </c>
      <c r="I207" s="21"/>
      <c r="J207" s="13"/>
      <c r="L207" s="26">
        <f>Table1345678101112131415161718192021222324252627283031323334[[#This Row],[الدولار]]+(Table1345678101112131415161718192021222324252627283031323334[[#This Row],[اللبناني]]/90)</f>
        <v>0</v>
      </c>
      <c r="M207" s="6"/>
    </row>
    <row r="208" spans="8:13" s="8" customFormat="1" x14ac:dyDescent="0.3">
      <c r="H208" s="5" t="s">
        <v>144</v>
      </c>
      <c r="I208" s="21"/>
      <c r="J208" s="13"/>
      <c r="L208" s="26">
        <f>Table1345678101112131415161718192021222324252627283031323334[[#This Row],[الدولار]]+(Table1345678101112131415161718192021222324252627283031323334[[#This Row],[اللبناني]]/90)</f>
        <v>0</v>
      </c>
      <c r="M208" s="6"/>
    </row>
    <row r="209" spans="8:13" s="8" customFormat="1" x14ac:dyDescent="0.3">
      <c r="H209" s="5" t="s">
        <v>144</v>
      </c>
      <c r="I209" s="21"/>
      <c r="J209" s="13"/>
      <c r="L209" s="26">
        <f>Table1345678101112131415161718192021222324252627283031323334[[#This Row],[الدولار]]+(Table1345678101112131415161718192021222324252627283031323334[[#This Row],[اللبناني]]/90)</f>
        <v>0</v>
      </c>
      <c r="M209" s="6"/>
    </row>
    <row r="210" spans="8:13" s="8" customFormat="1" x14ac:dyDescent="0.3">
      <c r="H210" s="5" t="s">
        <v>144</v>
      </c>
      <c r="I210" s="21"/>
      <c r="J210" s="13"/>
      <c r="L210" s="26">
        <f>Table1345678101112131415161718192021222324252627283031323334[[#This Row],[الدولار]]+(Table1345678101112131415161718192021222324252627283031323334[[#This Row],[اللبناني]]/90)</f>
        <v>0</v>
      </c>
      <c r="M210" s="6"/>
    </row>
    <row r="211" spans="8:13" s="8" customFormat="1" x14ac:dyDescent="0.3">
      <c r="H211" s="5" t="s">
        <v>144</v>
      </c>
      <c r="I211" s="21"/>
      <c r="J211" s="13"/>
      <c r="L211" s="26">
        <f>Table1345678101112131415161718192021222324252627283031323334[[#This Row],[الدولار]]+(Table1345678101112131415161718192021222324252627283031323334[[#This Row],[اللبناني]]/90)</f>
        <v>0</v>
      </c>
      <c r="M211" s="6"/>
    </row>
    <row r="212" spans="8:13" s="8" customFormat="1" x14ac:dyDescent="0.3">
      <c r="H212" s="5" t="s">
        <v>144</v>
      </c>
      <c r="I212" s="21"/>
      <c r="J212" s="13"/>
      <c r="L212" s="26">
        <f>Table1345678101112131415161718192021222324252627283031323334[[#This Row],[الدولار]]+(Table1345678101112131415161718192021222324252627283031323334[[#This Row],[اللبناني]]/90)</f>
        <v>0</v>
      </c>
      <c r="M212" s="6"/>
    </row>
    <row r="213" spans="8:13" s="8" customFormat="1" x14ac:dyDescent="0.3">
      <c r="H213" s="5" t="s">
        <v>144</v>
      </c>
      <c r="I213" s="21"/>
      <c r="J213" s="13"/>
      <c r="L213" s="26">
        <f>Table1345678101112131415161718192021222324252627283031323334[[#This Row],[الدولار]]+(Table1345678101112131415161718192021222324252627283031323334[[#This Row],[اللبناني]]/90)</f>
        <v>0</v>
      </c>
      <c r="M213" s="6"/>
    </row>
    <row r="214" spans="8:13" s="8" customFormat="1" x14ac:dyDescent="0.3">
      <c r="H214" s="5" t="s">
        <v>144</v>
      </c>
      <c r="I214" s="21"/>
      <c r="J214" s="13"/>
      <c r="L214" s="26">
        <f>Table1345678101112131415161718192021222324252627283031323334[[#This Row],[الدولار]]+(Table1345678101112131415161718192021222324252627283031323334[[#This Row],[اللبناني]]/90)</f>
        <v>0</v>
      </c>
      <c r="M214" s="6"/>
    </row>
    <row r="215" spans="8:13" s="8" customFormat="1" x14ac:dyDescent="0.3">
      <c r="H215" s="5" t="s">
        <v>144</v>
      </c>
      <c r="I215" s="21"/>
      <c r="J215" s="13"/>
      <c r="L215" s="26">
        <f>Table1345678101112131415161718192021222324252627283031323334[[#This Row],[الدولار]]+(Table1345678101112131415161718192021222324252627283031323334[[#This Row],[اللبناني]]/90)</f>
        <v>0</v>
      </c>
      <c r="M215" s="6"/>
    </row>
    <row r="216" spans="8:13" s="8" customFormat="1" x14ac:dyDescent="0.3">
      <c r="H216" s="5" t="s">
        <v>144</v>
      </c>
      <c r="I216" s="21"/>
      <c r="J216" s="13"/>
      <c r="L216" s="26">
        <f>Table1345678101112131415161718192021222324252627283031323334[[#This Row],[الدولار]]+(Table1345678101112131415161718192021222324252627283031323334[[#This Row],[اللبناني]]/90)</f>
        <v>0</v>
      </c>
      <c r="M216" s="6"/>
    </row>
    <row r="217" spans="8:13" s="8" customFormat="1" x14ac:dyDescent="0.3">
      <c r="H217" s="5" t="s">
        <v>144</v>
      </c>
      <c r="I217" s="21"/>
      <c r="J217" s="13"/>
      <c r="L217" s="26">
        <f>Table1345678101112131415161718192021222324252627283031323334[[#This Row],[الدولار]]+(Table1345678101112131415161718192021222324252627283031323334[[#This Row],[اللبناني]]/90)</f>
        <v>0</v>
      </c>
      <c r="M217" s="6"/>
    </row>
    <row r="218" spans="8:13" s="8" customFormat="1" x14ac:dyDescent="0.3">
      <c r="H218" s="5" t="s">
        <v>144</v>
      </c>
      <c r="I218" s="21"/>
      <c r="J218" s="13"/>
      <c r="L218" s="26">
        <f>Table1345678101112131415161718192021222324252627283031323334[[#This Row],[الدولار]]+(Table1345678101112131415161718192021222324252627283031323334[[#This Row],[اللبناني]]/90)</f>
        <v>0</v>
      </c>
      <c r="M218" s="6"/>
    </row>
    <row r="219" spans="8:13" s="8" customFormat="1" x14ac:dyDescent="0.3">
      <c r="H219" s="5" t="s">
        <v>144</v>
      </c>
      <c r="I219" s="21"/>
      <c r="J219" s="13"/>
      <c r="L219" s="26">
        <f>Table1345678101112131415161718192021222324252627283031323334[[#This Row],[الدولار]]+(Table1345678101112131415161718192021222324252627283031323334[[#This Row],[اللبناني]]/90)</f>
        <v>0</v>
      </c>
      <c r="M219" s="6"/>
    </row>
    <row r="220" spans="8:13" s="8" customFormat="1" x14ac:dyDescent="0.3">
      <c r="H220" s="5" t="s">
        <v>144</v>
      </c>
      <c r="I220" s="21"/>
      <c r="J220" s="13"/>
      <c r="L220" s="26">
        <f>Table1345678101112131415161718192021222324252627283031323334[[#This Row],[الدولار]]+(Table1345678101112131415161718192021222324252627283031323334[[#This Row],[اللبناني]]/90)</f>
        <v>0</v>
      </c>
      <c r="M220" s="6"/>
    </row>
    <row r="221" spans="8:13" s="8" customFormat="1" x14ac:dyDescent="0.3">
      <c r="H221" s="5" t="s">
        <v>144</v>
      </c>
      <c r="I221" s="21"/>
      <c r="J221" s="13"/>
      <c r="L221" s="26">
        <f>Table1345678101112131415161718192021222324252627283031323334[[#This Row],[الدولار]]+(Table1345678101112131415161718192021222324252627283031323334[[#This Row],[اللبناني]]/90)</f>
        <v>0</v>
      </c>
      <c r="M221" s="6"/>
    </row>
    <row r="222" spans="8:13" s="8" customFormat="1" x14ac:dyDescent="0.3">
      <c r="H222" s="5" t="s">
        <v>144</v>
      </c>
      <c r="I222" s="21"/>
      <c r="J222" s="13"/>
      <c r="L222" s="26">
        <f>Table1345678101112131415161718192021222324252627283031323334[[#This Row],[الدولار]]+(Table1345678101112131415161718192021222324252627283031323334[[#This Row],[اللبناني]]/90)</f>
        <v>0</v>
      </c>
      <c r="M222" s="6"/>
    </row>
    <row r="223" spans="8:13" s="8" customFormat="1" x14ac:dyDescent="0.3">
      <c r="H223" s="5" t="s">
        <v>144</v>
      </c>
      <c r="I223" s="21"/>
      <c r="J223" s="13"/>
      <c r="L223" s="26">
        <f>Table1345678101112131415161718192021222324252627283031323334[[#This Row],[الدولار]]+(Table1345678101112131415161718192021222324252627283031323334[[#This Row],[اللبناني]]/90)</f>
        <v>0</v>
      </c>
      <c r="M223" s="6"/>
    </row>
    <row r="224" spans="8:13" s="8" customFormat="1" x14ac:dyDescent="0.3">
      <c r="H224" s="5" t="s">
        <v>144</v>
      </c>
      <c r="I224" s="21"/>
      <c r="J224" s="13"/>
      <c r="L224" s="26">
        <f>Table1345678101112131415161718192021222324252627283031323334[[#This Row],[الدولار]]+(Table1345678101112131415161718192021222324252627283031323334[[#This Row],[اللبناني]]/90)</f>
        <v>0</v>
      </c>
      <c r="M224" s="6"/>
    </row>
    <row r="225" spans="8:13" s="8" customFormat="1" x14ac:dyDescent="0.3">
      <c r="H225" s="5" t="s">
        <v>144</v>
      </c>
      <c r="I225" s="21"/>
      <c r="J225" s="13"/>
      <c r="L225" s="26">
        <f>Table1345678101112131415161718192021222324252627283031323334[[#This Row],[الدولار]]+(Table1345678101112131415161718192021222324252627283031323334[[#This Row],[اللبناني]]/90)</f>
        <v>0</v>
      </c>
      <c r="M225" s="6"/>
    </row>
    <row r="226" spans="8:13" s="8" customFormat="1" x14ac:dyDescent="0.3">
      <c r="H226" s="5" t="s">
        <v>144</v>
      </c>
      <c r="I226" s="21"/>
      <c r="J226" s="13"/>
      <c r="L226" s="26">
        <f>Table1345678101112131415161718192021222324252627283031323334[[#This Row],[الدولار]]+(Table1345678101112131415161718192021222324252627283031323334[[#This Row],[اللبناني]]/90)</f>
        <v>0</v>
      </c>
      <c r="M226" s="6"/>
    </row>
    <row r="227" spans="8:13" s="8" customFormat="1" x14ac:dyDescent="0.3">
      <c r="H227" s="5" t="s">
        <v>144</v>
      </c>
      <c r="I227" s="21"/>
      <c r="J227" s="13"/>
      <c r="L227" s="26">
        <f>Table1345678101112131415161718192021222324252627283031323334[[#This Row],[الدولار]]+(Table1345678101112131415161718192021222324252627283031323334[[#This Row],[اللبناني]]/90)</f>
        <v>0</v>
      </c>
      <c r="M227" s="6"/>
    </row>
    <row r="228" spans="8:13" s="8" customFormat="1" x14ac:dyDescent="0.3">
      <c r="H228" s="5" t="s">
        <v>144</v>
      </c>
      <c r="I228" s="21"/>
      <c r="J228" s="13"/>
      <c r="L228" s="26">
        <f>Table1345678101112131415161718192021222324252627283031323334[[#This Row],[الدولار]]+(Table1345678101112131415161718192021222324252627283031323334[[#This Row],[اللبناني]]/90)</f>
        <v>0</v>
      </c>
      <c r="M228" s="6"/>
    </row>
    <row r="229" spans="8:13" s="8" customFormat="1" x14ac:dyDescent="0.3">
      <c r="H229" s="5" t="s">
        <v>144</v>
      </c>
      <c r="I229" s="21"/>
      <c r="J229" s="13"/>
      <c r="L229" s="26">
        <f>Table1345678101112131415161718192021222324252627283031323334[[#This Row],[الدولار]]+(Table1345678101112131415161718192021222324252627283031323334[[#This Row],[اللبناني]]/90)</f>
        <v>0</v>
      </c>
      <c r="M229" s="6"/>
    </row>
    <row r="230" spans="8:13" s="8" customFormat="1" x14ac:dyDescent="0.3">
      <c r="H230" s="5" t="s">
        <v>144</v>
      </c>
      <c r="I230" s="21"/>
      <c r="J230" s="13"/>
      <c r="L230" s="26">
        <f>Table1345678101112131415161718192021222324252627283031323334[[#This Row],[الدولار]]+(Table1345678101112131415161718192021222324252627283031323334[[#This Row],[اللبناني]]/90)</f>
        <v>0</v>
      </c>
      <c r="M230" s="6"/>
    </row>
    <row r="231" spans="8:13" s="8" customFormat="1" x14ac:dyDescent="0.3">
      <c r="H231" s="5" t="s">
        <v>144</v>
      </c>
      <c r="I231" s="21"/>
      <c r="J231" s="13"/>
      <c r="L231" s="26">
        <f>Table1345678101112131415161718192021222324252627283031323334[[#This Row],[الدولار]]+(Table1345678101112131415161718192021222324252627283031323334[[#This Row],[اللبناني]]/90)</f>
        <v>0</v>
      </c>
      <c r="M231" s="6"/>
    </row>
    <row r="232" spans="8:13" s="8" customFormat="1" x14ac:dyDescent="0.3">
      <c r="H232" s="5" t="s">
        <v>144</v>
      </c>
      <c r="I232" s="21"/>
      <c r="J232" s="13"/>
      <c r="L232" s="26">
        <f>Table1345678101112131415161718192021222324252627283031323334[[#This Row],[الدولار]]+(Table1345678101112131415161718192021222324252627283031323334[[#This Row],[اللبناني]]/90)</f>
        <v>0</v>
      </c>
      <c r="M232" s="6"/>
    </row>
    <row r="233" spans="8:13" s="8" customFormat="1" x14ac:dyDescent="0.3">
      <c r="H233" s="5" t="s">
        <v>144</v>
      </c>
      <c r="I233" s="21"/>
      <c r="J233" s="13"/>
      <c r="L233" s="26">
        <f>Table1345678101112131415161718192021222324252627283031323334[[#This Row],[الدولار]]+(Table1345678101112131415161718192021222324252627283031323334[[#This Row],[اللبناني]]/90)</f>
        <v>0</v>
      </c>
      <c r="M233" s="6"/>
    </row>
    <row r="234" spans="8:13" s="8" customFormat="1" x14ac:dyDescent="0.3">
      <c r="H234" s="5" t="s">
        <v>144</v>
      </c>
      <c r="I234" s="21"/>
      <c r="J234" s="13"/>
      <c r="L234" s="26">
        <f>Table1345678101112131415161718192021222324252627283031323334[[#This Row],[الدولار]]+(Table1345678101112131415161718192021222324252627283031323334[[#This Row],[اللبناني]]/90)</f>
        <v>0</v>
      </c>
      <c r="M234" s="6"/>
    </row>
    <row r="235" spans="8:13" s="8" customFormat="1" x14ac:dyDescent="0.3">
      <c r="H235" s="5" t="s">
        <v>144</v>
      </c>
      <c r="I235" s="21"/>
      <c r="J235" s="13"/>
      <c r="L235" s="26">
        <f>Table1345678101112131415161718192021222324252627283031323334[[#This Row],[الدولار]]+(Table1345678101112131415161718192021222324252627283031323334[[#This Row],[اللبناني]]/90)</f>
        <v>0</v>
      </c>
      <c r="M235" s="6"/>
    </row>
    <row r="236" spans="8:13" s="8" customFormat="1" x14ac:dyDescent="0.3">
      <c r="H236" s="5" t="s">
        <v>144</v>
      </c>
      <c r="I236" s="21"/>
      <c r="J236" s="13"/>
      <c r="L236" s="26">
        <f>Table1345678101112131415161718192021222324252627283031323334[[#This Row],[الدولار]]+(Table1345678101112131415161718192021222324252627283031323334[[#This Row],[اللبناني]]/90)</f>
        <v>0</v>
      </c>
      <c r="M236" s="6"/>
    </row>
    <row r="237" spans="8:13" s="8" customFormat="1" x14ac:dyDescent="0.3">
      <c r="H237" s="5" t="s">
        <v>144</v>
      </c>
      <c r="I237" s="21"/>
      <c r="J237" s="13"/>
      <c r="L237" s="26">
        <f>Table1345678101112131415161718192021222324252627283031323334[[#This Row],[الدولار]]+(Table1345678101112131415161718192021222324252627283031323334[[#This Row],[اللبناني]]/90)</f>
        <v>0</v>
      </c>
      <c r="M237" s="6"/>
    </row>
    <row r="238" spans="8:13" s="8" customFormat="1" x14ac:dyDescent="0.3">
      <c r="H238" s="5" t="s">
        <v>144</v>
      </c>
      <c r="I238" s="21"/>
      <c r="J238" s="13"/>
      <c r="L238" s="26">
        <f>Table1345678101112131415161718192021222324252627283031323334[[#This Row],[الدولار]]+(Table1345678101112131415161718192021222324252627283031323334[[#This Row],[اللبناني]]/90)</f>
        <v>0</v>
      </c>
      <c r="M238" s="6"/>
    </row>
    <row r="239" spans="8:13" s="8" customFormat="1" x14ac:dyDescent="0.3">
      <c r="H239" s="5" t="s">
        <v>144</v>
      </c>
      <c r="I239" s="21"/>
      <c r="J239" s="13"/>
      <c r="L239" s="26">
        <f>Table1345678101112131415161718192021222324252627283031323334[[#This Row],[الدولار]]+(Table1345678101112131415161718192021222324252627283031323334[[#This Row],[اللبناني]]/90)</f>
        <v>0</v>
      </c>
      <c r="M239" s="6"/>
    </row>
    <row r="240" spans="8:13" s="8" customFormat="1" x14ac:dyDescent="0.3">
      <c r="H240" s="5" t="s">
        <v>144</v>
      </c>
      <c r="I240" s="21"/>
      <c r="J240" s="13"/>
      <c r="L240" s="26">
        <f>Table1345678101112131415161718192021222324252627283031323334[[#This Row],[الدولار]]+(Table1345678101112131415161718192021222324252627283031323334[[#This Row],[اللبناني]]/90)</f>
        <v>0</v>
      </c>
      <c r="M240" s="6"/>
    </row>
    <row r="241" spans="8:13" s="8" customFormat="1" x14ac:dyDescent="0.3">
      <c r="H241" s="5" t="s">
        <v>144</v>
      </c>
      <c r="I241" s="21"/>
      <c r="J241" s="13"/>
      <c r="L241" s="26">
        <f>Table1345678101112131415161718192021222324252627283031323334[[#This Row],[الدولار]]+(Table1345678101112131415161718192021222324252627283031323334[[#This Row],[اللبناني]]/90)</f>
        <v>0</v>
      </c>
      <c r="M241" s="6"/>
    </row>
    <row r="242" spans="8:13" s="8" customFormat="1" x14ac:dyDescent="0.3">
      <c r="H242" s="5" t="s">
        <v>144</v>
      </c>
      <c r="I242" s="21"/>
      <c r="J242" s="13"/>
      <c r="L242" s="26">
        <f>Table1345678101112131415161718192021222324252627283031323334[[#This Row],[الدولار]]+(Table1345678101112131415161718192021222324252627283031323334[[#This Row],[اللبناني]]/90)</f>
        <v>0</v>
      </c>
      <c r="M242" s="6"/>
    </row>
    <row r="243" spans="8:13" s="8" customFormat="1" x14ac:dyDescent="0.3">
      <c r="H243" s="5" t="s">
        <v>144</v>
      </c>
      <c r="I243" s="21"/>
      <c r="J243" s="13"/>
      <c r="L243" s="26">
        <f>Table1345678101112131415161718192021222324252627283031323334[[#This Row],[الدولار]]+(Table1345678101112131415161718192021222324252627283031323334[[#This Row],[اللبناني]]/90)</f>
        <v>0</v>
      </c>
      <c r="M243" s="6"/>
    </row>
    <row r="244" spans="8:13" s="8" customFormat="1" x14ac:dyDescent="0.3">
      <c r="H244" s="5" t="s">
        <v>144</v>
      </c>
      <c r="I244" s="21"/>
      <c r="J244" s="13"/>
      <c r="L244" s="26">
        <f>Table1345678101112131415161718192021222324252627283031323334[[#This Row],[الدولار]]+(Table1345678101112131415161718192021222324252627283031323334[[#This Row],[اللبناني]]/90)</f>
        <v>0</v>
      </c>
      <c r="M244" s="6"/>
    </row>
    <row r="245" spans="8:13" s="8" customFormat="1" x14ac:dyDescent="0.3">
      <c r="H245" s="5" t="s">
        <v>144</v>
      </c>
      <c r="I245" s="21"/>
      <c r="J245" s="13"/>
      <c r="L245" s="26">
        <f>Table1345678101112131415161718192021222324252627283031323334[[#This Row],[الدولار]]+(Table1345678101112131415161718192021222324252627283031323334[[#This Row],[اللبناني]]/90)</f>
        <v>0</v>
      </c>
      <c r="M245" s="6"/>
    </row>
    <row r="246" spans="8:13" s="8" customFormat="1" x14ac:dyDescent="0.3">
      <c r="H246" s="5" t="s">
        <v>144</v>
      </c>
      <c r="I246" s="21"/>
      <c r="J246" s="13"/>
      <c r="L246" s="26">
        <f>Table1345678101112131415161718192021222324252627283031323334[[#This Row],[الدولار]]+(Table1345678101112131415161718192021222324252627283031323334[[#This Row],[اللبناني]]/90)</f>
        <v>0</v>
      </c>
      <c r="M246" s="6"/>
    </row>
    <row r="247" spans="8:13" s="8" customFormat="1" x14ac:dyDescent="0.3">
      <c r="H247" s="5" t="s">
        <v>144</v>
      </c>
      <c r="I247" s="21"/>
      <c r="J247" s="13"/>
      <c r="L247" s="26">
        <f>Table1345678101112131415161718192021222324252627283031323334[[#This Row],[الدولار]]+(Table1345678101112131415161718192021222324252627283031323334[[#This Row],[اللبناني]]/90)</f>
        <v>0</v>
      </c>
      <c r="M247" s="6"/>
    </row>
    <row r="248" spans="8:13" s="8" customFormat="1" x14ac:dyDescent="0.3">
      <c r="H248" s="5" t="s">
        <v>144</v>
      </c>
      <c r="I248" s="21"/>
      <c r="J248" s="13"/>
      <c r="L248" s="26">
        <f>Table1345678101112131415161718192021222324252627283031323334[[#This Row],[الدولار]]+(Table1345678101112131415161718192021222324252627283031323334[[#This Row],[اللبناني]]/90)</f>
        <v>0</v>
      </c>
      <c r="M248" s="6"/>
    </row>
    <row r="249" spans="8:13" s="8" customFormat="1" x14ac:dyDescent="0.3">
      <c r="H249" s="5" t="s">
        <v>144</v>
      </c>
      <c r="I249" s="21"/>
      <c r="J249" s="13"/>
      <c r="L249" s="26">
        <f>Table1345678101112131415161718192021222324252627283031323334[[#This Row],[الدولار]]+(Table1345678101112131415161718192021222324252627283031323334[[#This Row],[اللبناني]]/90)</f>
        <v>0</v>
      </c>
      <c r="M249" s="6"/>
    </row>
    <row r="250" spans="8:13" s="8" customFormat="1" x14ac:dyDescent="0.3">
      <c r="H250" s="5" t="s">
        <v>144</v>
      </c>
      <c r="I250" s="21"/>
      <c r="J250" s="13"/>
      <c r="L250" s="26">
        <f>Table1345678101112131415161718192021222324252627283031323334[[#This Row],[الدولار]]+(Table1345678101112131415161718192021222324252627283031323334[[#This Row],[اللبناني]]/90)</f>
        <v>0</v>
      </c>
      <c r="M250" s="6"/>
    </row>
    <row r="251" spans="8:13" s="8" customFormat="1" x14ac:dyDescent="0.3">
      <c r="H251" s="5" t="s">
        <v>144</v>
      </c>
      <c r="I251" s="21"/>
      <c r="J251" s="13"/>
      <c r="L251" s="26">
        <f>Table1345678101112131415161718192021222324252627283031323334[[#This Row],[الدولار]]+(Table1345678101112131415161718192021222324252627283031323334[[#This Row],[اللبناني]]/90)</f>
        <v>0</v>
      </c>
      <c r="M251" s="6"/>
    </row>
    <row r="252" spans="8:13" s="8" customFormat="1" x14ac:dyDescent="0.3">
      <c r="H252" s="5" t="s">
        <v>144</v>
      </c>
      <c r="I252" s="21"/>
      <c r="J252" s="13"/>
      <c r="L252" s="26">
        <f>Table1345678101112131415161718192021222324252627283031323334[[#This Row],[الدولار]]+(Table1345678101112131415161718192021222324252627283031323334[[#This Row],[اللبناني]]/90)</f>
        <v>0</v>
      </c>
      <c r="M252" s="6"/>
    </row>
    <row r="253" spans="8:13" s="8" customFormat="1" x14ac:dyDescent="0.3">
      <c r="H253" s="5" t="s">
        <v>144</v>
      </c>
      <c r="I253" s="21"/>
      <c r="J253" s="13"/>
      <c r="L253" s="26">
        <f>Table1345678101112131415161718192021222324252627283031323334[[#This Row],[الدولار]]+(Table1345678101112131415161718192021222324252627283031323334[[#This Row],[اللبناني]]/90)</f>
        <v>0</v>
      </c>
      <c r="M253" s="6"/>
    </row>
    <row r="254" spans="8:13" s="8" customFormat="1" x14ac:dyDescent="0.3">
      <c r="H254" s="5" t="s">
        <v>144</v>
      </c>
      <c r="I254" s="21"/>
      <c r="J254" s="13"/>
      <c r="L254" s="26">
        <f>Table1345678101112131415161718192021222324252627283031323334[[#This Row],[الدولار]]+(Table1345678101112131415161718192021222324252627283031323334[[#This Row],[اللبناني]]/90)</f>
        <v>0</v>
      </c>
      <c r="M254" s="6"/>
    </row>
    <row r="255" spans="8:13" s="8" customFormat="1" x14ac:dyDescent="0.3">
      <c r="H255" s="5" t="s">
        <v>144</v>
      </c>
      <c r="I255" s="21"/>
      <c r="J255" s="13"/>
      <c r="L255" s="26">
        <f>Table1345678101112131415161718192021222324252627283031323334[[#This Row],[الدولار]]+(Table1345678101112131415161718192021222324252627283031323334[[#This Row],[اللبناني]]/90)</f>
        <v>0</v>
      </c>
      <c r="M255" s="6"/>
    </row>
    <row r="256" spans="8:13" s="8" customFormat="1" x14ac:dyDescent="0.3">
      <c r="H256" s="5" t="s">
        <v>144</v>
      </c>
      <c r="I256" s="21"/>
      <c r="J256" s="13"/>
      <c r="L256" s="26">
        <f>Table1345678101112131415161718192021222324252627283031323334[[#This Row],[الدولار]]+(Table1345678101112131415161718192021222324252627283031323334[[#This Row],[اللبناني]]/90)</f>
        <v>0</v>
      </c>
      <c r="M256" s="6"/>
    </row>
    <row r="257" spans="8:13" s="8" customFormat="1" x14ac:dyDescent="0.3">
      <c r="H257" s="5" t="s">
        <v>144</v>
      </c>
      <c r="I257" s="21"/>
      <c r="J257" s="13"/>
      <c r="L257" s="26">
        <f>Table1345678101112131415161718192021222324252627283031323334[[#This Row],[الدولار]]+(Table1345678101112131415161718192021222324252627283031323334[[#This Row],[اللبناني]]/90)</f>
        <v>0</v>
      </c>
      <c r="M257" s="6"/>
    </row>
    <row r="258" spans="8:13" s="8" customFormat="1" x14ac:dyDescent="0.3">
      <c r="H258" s="5" t="s">
        <v>144</v>
      </c>
      <c r="I258" s="21"/>
      <c r="J258" s="13"/>
      <c r="L258" s="26">
        <f>Table1345678101112131415161718192021222324252627283031323334[[#This Row],[الدولار]]+(Table1345678101112131415161718192021222324252627283031323334[[#This Row],[اللبناني]]/90)</f>
        <v>0</v>
      </c>
      <c r="M258" s="6"/>
    </row>
    <row r="259" spans="8:13" s="8" customFormat="1" x14ac:dyDescent="0.3">
      <c r="H259" s="5" t="s">
        <v>144</v>
      </c>
      <c r="I259" s="21"/>
      <c r="J259" s="13"/>
      <c r="L259" s="26">
        <f>Table1345678101112131415161718192021222324252627283031323334[[#This Row],[الدولار]]+(Table1345678101112131415161718192021222324252627283031323334[[#This Row],[اللبناني]]/90)</f>
        <v>0</v>
      </c>
      <c r="M259" s="6"/>
    </row>
    <row r="260" spans="8:13" s="8" customFormat="1" x14ac:dyDescent="0.3">
      <c r="H260" s="5" t="s">
        <v>144</v>
      </c>
      <c r="I260" s="21"/>
      <c r="J260" s="13"/>
      <c r="L260" s="26">
        <f>Table1345678101112131415161718192021222324252627283031323334[[#This Row],[الدولار]]+(Table1345678101112131415161718192021222324252627283031323334[[#This Row],[اللبناني]]/90)</f>
        <v>0</v>
      </c>
      <c r="M260" s="6"/>
    </row>
    <row r="261" spans="8:13" s="8" customFormat="1" x14ac:dyDescent="0.3">
      <c r="H261" s="5" t="s">
        <v>144</v>
      </c>
      <c r="I261" s="21"/>
      <c r="J261" s="13"/>
      <c r="L261" s="26">
        <f>Table1345678101112131415161718192021222324252627283031323334[[#This Row],[الدولار]]+(Table1345678101112131415161718192021222324252627283031323334[[#This Row],[اللبناني]]/90)</f>
        <v>0</v>
      </c>
      <c r="M261" s="6"/>
    </row>
    <row r="262" spans="8:13" s="8" customFormat="1" x14ac:dyDescent="0.3">
      <c r="H262" s="5" t="s">
        <v>144</v>
      </c>
      <c r="I262" s="21"/>
      <c r="J262" s="13"/>
      <c r="L262" s="26">
        <f>Table1345678101112131415161718192021222324252627283031323334[[#This Row],[الدولار]]+(Table1345678101112131415161718192021222324252627283031323334[[#This Row],[اللبناني]]/90)</f>
        <v>0</v>
      </c>
      <c r="M262" s="6"/>
    </row>
    <row r="263" spans="8:13" s="8" customFormat="1" x14ac:dyDescent="0.3">
      <c r="H263" s="5" t="s">
        <v>144</v>
      </c>
      <c r="I263" s="21"/>
      <c r="J263" s="13"/>
      <c r="L263" s="26">
        <f>Table1345678101112131415161718192021222324252627283031323334[[#This Row],[الدولار]]+(Table1345678101112131415161718192021222324252627283031323334[[#This Row],[اللبناني]]/90)</f>
        <v>0</v>
      </c>
      <c r="M263" s="6"/>
    </row>
    <row r="264" spans="8:13" s="8" customFormat="1" x14ac:dyDescent="0.3">
      <c r="H264" s="5" t="s">
        <v>144</v>
      </c>
      <c r="I264" s="21"/>
      <c r="J264" s="13"/>
      <c r="L264" s="26">
        <f>Table1345678101112131415161718192021222324252627283031323334[[#This Row],[الدولار]]+(Table1345678101112131415161718192021222324252627283031323334[[#This Row],[اللبناني]]/90)</f>
        <v>0</v>
      </c>
      <c r="M264" s="6"/>
    </row>
    <row r="265" spans="8:13" s="8" customFormat="1" x14ac:dyDescent="0.3">
      <c r="H265" s="5" t="s">
        <v>144</v>
      </c>
      <c r="I265" s="21"/>
      <c r="J265" s="13"/>
      <c r="L265" s="26">
        <f>Table1345678101112131415161718192021222324252627283031323334[[#This Row],[الدولار]]+(Table1345678101112131415161718192021222324252627283031323334[[#This Row],[اللبناني]]/90)</f>
        <v>0</v>
      </c>
      <c r="M265" s="6"/>
    </row>
    <row r="266" spans="8:13" s="8" customFormat="1" x14ac:dyDescent="0.3">
      <c r="H266" s="5" t="s">
        <v>144</v>
      </c>
      <c r="I266" s="21"/>
      <c r="J266" s="13"/>
      <c r="L266" s="26">
        <f>Table1345678101112131415161718192021222324252627283031323334[[#This Row],[الدولار]]+(Table1345678101112131415161718192021222324252627283031323334[[#This Row],[اللبناني]]/90)</f>
        <v>0</v>
      </c>
      <c r="M266" s="6"/>
    </row>
    <row r="267" spans="8:13" s="8" customFormat="1" x14ac:dyDescent="0.3">
      <c r="H267" s="5" t="s">
        <v>144</v>
      </c>
      <c r="I267" s="21"/>
      <c r="J267" s="13"/>
      <c r="L267" s="26">
        <f>Table1345678101112131415161718192021222324252627283031323334[[#This Row],[الدولار]]+(Table1345678101112131415161718192021222324252627283031323334[[#This Row],[اللبناني]]/90)</f>
        <v>0</v>
      </c>
      <c r="M267" s="6"/>
    </row>
    <row r="268" spans="8:13" s="8" customFormat="1" x14ac:dyDescent="0.3">
      <c r="H268" s="5" t="s">
        <v>144</v>
      </c>
      <c r="I268" s="21"/>
      <c r="J268" s="13"/>
      <c r="L268" s="26">
        <f>Table1345678101112131415161718192021222324252627283031323334[[#This Row],[الدولار]]+(Table1345678101112131415161718192021222324252627283031323334[[#This Row],[اللبناني]]/90)</f>
        <v>0</v>
      </c>
      <c r="M268" s="6"/>
    </row>
    <row r="269" spans="8:13" s="8" customFormat="1" x14ac:dyDescent="0.3">
      <c r="H269" s="5" t="s">
        <v>144</v>
      </c>
      <c r="I269" s="21"/>
      <c r="J269" s="13"/>
      <c r="L269" s="26">
        <f>Table1345678101112131415161718192021222324252627283031323334[[#This Row],[الدولار]]+(Table1345678101112131415161718192021222324252627283031323334[[#This Row],[اللبناني]]/90)</f>
        <v>0</v>
      </c>
      <c r="M269" s="6"/>
    </row>
    <row r="270" spans="8:13" s="8" customFormat="1" x14ac:dyDescent="0.3">
      <c r="H270" s="5" t="s">
        <v>144</v>
      </c>
      <c r="I270" s="21"/>
      <c r="J270" s="13"/>
      <c r="L270" s="26">
        <f>Table1345678101112131415161718192021222324252627283031323334[[#This Row],[الدولار]]+(Table1345678101112131415161718192021222324252627283031323334[[#This Row],[اللبناني]]/90)</f>
        <v>0</v>
      </c>
      <c r="M270" s="6"/>
    </row>
    <row r="271" spans="8:13" s="8" customFormat="1" x14ac:dyDescent="0.3">
      <c r="H271" s="5" t="s">
        <v>144</v>
      </c>
      <c r="I271" s="21"/>
      <c r="J271" s="13"/>
      <c r="L271" s="26">
        <f>Table1345678101112131415161718192021222324252627283031323334[[#This Row],[الدولار]]+(Table1345678101112131415161718192021222324252627283031323334[[#This Row],[اللبناني]]/90)</f>
        <v>0</v>
      </c>
      <c r="M271" s="6"/>
    </row>
    <row r="272" spans="8:13" s="8" customFormat="1" x14ac:dyDescent="0.3">
      <c r="H272" s="5" t="s">
        <v>144</v>
      </c>
      <c r="I272" s="21"/>
      <c r="J272" s="13"/>
      <c r="L272" s="26">
        <f>Table1345678101112131415161718192021222324252627283031323334[[#This Row],[الدولار]]+(Table1345678101112131415161718192021222324252627283031323334[[#This Row],[اللبناني]]/90)</f>
        <v>0</v>
      </c>
      <c r="M272" s="6"/>
    </row>
    <row r="273" spans="8:13" s="8" customFormat="1" x14ac:dyDescent="0.3">
      <c r="H273" s="5" t="s">
        <v>144</v>
      </c>
      <c r="I273" s="21"/>
      <c r="J273" s="13"/>
      <c r="L273" s="26">
        <f>Table1345678101112131415161718192021222324252627283031323334[[#This Row],[الدولار]]+(Table1345678101112131415161718192021222324252627283031323334[[#This Row],[اللبناني]]/90)</f>
        <v>0</v>
      </c>
      <c r="M273" s="6"/>
    </row>
    <row r="274" spans="8:13" s="8" customFormat="1" x14ac:dyDescent="0.3">
      <c r="H274" s="5" t="s">
        <v>144</v>
      </c>
      <c r="I274" s="21"/>
      <c r="J274" s="13"/>
      <c r="L274" s="26">
        <f>Table1345678101112131415161718192021222324252627283031323334[[#This Row],[الدولار]]+(Table1345678101112131415161718192021222324252627283031323334[[#This Row],[اللبناني]]/90)</f>
        <v>0</v>
      </c>
      <c r="M274" s="6"/>
    </row>
    <row r="275" spans="8:13" s="8" customFormat="1" x14ac:dyDescent="0.3">
      <c r="H275" s="5" t="s">
        <v>144</v>
      </c>
      <c r="I275" s="21"/>
      <c r="J275" s="13"/>
      <c r="L275" s="26">
        <f>Table1345678101112131415161718192021222324252627283031323334[[#This Row],[الدولار]]+(Table1345678101112131415161718192021222324252627283031323334[[#This Row],[اللبناني]]/90)</f>
        <v>0</v>
      </c>
      <c r="M275" s="6"/>
    </row>
    <row r="276" spans="8:13" s="8" customFormat="1" x14ac:dyDescent="0.3">
      <c r="H276" s="5" t="s">
        <v>144</v>
      </c>
      <c r="I276" s="21"/>
      <c r="J276" s="13"/>
      <c r="L276" s="26">
        <f>Table1345678101112131415161718192021222324252627283031323334[[#This Row],[الدولار]]+(Table1345678101112131415161718192021222324252627283031323334[[#This Row],[اللبناني]]/90)</f>
        <v>0</v>
      </c>
      <c r="M276" s="6"/>
    </row>
    <row r="277" spans="8:13" s="8" customFormat="1" x14ac:dyDescent="0.3">
      <c r="H277" s="5" t="s">
        <v>144</v>
      </c>
      <c r="I277" s="21"/>
      <c r="J277" s="13"/>
      <c r="L277" s="26">
        <f>Table1345678101112131415161718192021222324252627283031323334[[#This Row],[الدولار]]+(Table1345678101112131415161718192021222324252627283031323334[[#This Row],[اللبناني]]/90)</f>
        <v>0</v>
      </c>
      <c r="M277" s="6"/>
    </row>
    <row r="278" spans="8:13" s="8" customFormat="1" x14ac:dyDescent="0.3">
      <c r="H278" s="5" t="s">
        <v>144</v>
      </c>
      <c r="I278" s="21"/>
      <c r="J278" s="13"/>
      <c r="L278" s="26">
        <f>Table1345678101112131415161718192021222324252627283031323334[[#This Row],[الدولار]]+(Table1345678101112131415161718192021222324252627283031323334[[#This Row],[اللبناني]]/90)</f>
        <v>0</v>
      </c>
      <c r="M278" s="6"/>
    </row>
    <row r="279" spans="8:13" s="8" customFormat="1" x14ac:dyDescent="0.3">
      <c r="H279" s="5" t="s">
        <v>144</v>
      </c>
      <c r="I279" s="21"/>
      <c r="J279" s="13"/>
      <c r="L279" s="26">
        <f>Table1345678101112131415161718192021222324252627283031323334[[#This Row],[الدولار]]+(Table1345678101112131415161718192021222324252627283031323334[[#This Row],[اللبناني]]/90)</f>
        <v>0</v>
      </c>
      <c r="M279" s="6"/>
    </row>
    <row r="280" spans="8:13" s="8" customFormat="1" x14ac:dyDescent="0.3">
      <c r="H280" s="5" t="s">
        <v>144</v>
      </c>
      <c r="I280" s="21"/>
      <c r="J280" s="13"/>
      <c r="L280" s="26">
        <f>Table1345678101112131415161718192021222324252627283031323334[[#This Row],[الدولار]]+(Table1345678101112131415161718192021222324252627283031323334[[#This Row],[اللبناني]]/90)</f>
        <v>0</v>
      </c>
      <c r="M280" s="6"/>
    </row>
    <row r="281" spans="8:13" s="8" customFormat="1" x14ac:dyDescent="0.3">
      <c r="H281" s="5" t="s">
        <v>144</v>
      </c>
      <c r="I281" s="21"/>
      <c r="J281" s="13"/>
      <c r="L281" s="26">
        <f>Table1345678101112131415161718192021222324252627283031323334[[#This Row],[الدولار]]+(Table1345678101112131415161718192021222324252627283031323334[[#This Row],[اللبناني]]/90)</f>
        <v>0</v>
      </c>
      <c r="M281" s="6"/>
    </row>
    <row r="282" spans="8:13" s="8" customFormat="1" x14ac:dyDescent="0.3">
      <c r="H282" s="5" t="s">
        <v>144</v>
      </c>
      <c r="I282" s="21"/>
      <c r="J282" s="13"/>
      <c r="L282" s="26">
        <f>Table1345678101112131415161718192021222324252627283031323334[[#This Row],[الدولار]]+(Table1345678101112131415161718192021222324252627283031323334[[#This Row],[اللبناني]]/90)</f>
        <v>0</v>
      </c>
      <c r="M282" s="6"/>
    </row>
    <row r="283" spans="8:13" s="8" customFormat="1" x14ac:dyDescent="0.3">
      <c r="H283" s="5" t="s">
        <v>144</v>
      </c>
      <c r="I283" s="21"/>
      <c r="J283" s="13"/>
      <c r="L283" s="26">
        <f>Table1345678101112131415161718192021222324252627283031323334[[#This Row],[الدولار]]+(Table1345678101112131415161718192021222324252627283031323334[[#This Row],[اللبناني]]/90)</f>
        <v>0</v>
      </c>
      <c r="M283" s="6"/>
    </row>
    <row r="284" spans="8:13" s="8" customFormat="1" x14ac:dyDescent="0.3">
      <c r="H284" s="5" t="s">
        <v>144</v>
      </c>
      <c r="I284" s="21"/>
      <c r="J284" s="13"/>
      <c r="L284" s="26">
        <f>Table1345678101112131415161718192021222324252627283031323334[[#This Row],[الدولار]]+(Table1345678101112131415161718192021222324252627283031323334[[#This Row],[اللبناني]]/90)</f>
        <v>0</v>
      </c>
      <c r="M284" s="6"/>
    </row>
    <row r="285" spans="8:13" s="8" customFormat="1" x14ac:dyDescent="0.3">
      <c r="H285" s="5" t="s">
        <v>144</v>
      </c>
      <c r="I285" s="21"/>
      <c r="J285" s="13"/>
      <c r="L285" s="26">
        <f>Table1345678101112131415161718192021222324252627283031323334[[#This Row],[الدولار]]+(Table1345678101112131415161718192021222324252627283031323334[[#This Row],[اللبناني]]/90)</f>
        <v>0</v>
      </c>
      <c r="M285" s="6"/>
    </row>
    <row r="286" spans="8:13" s="8" customFormat="1" x14ac:dyDescent="0.3">
      <c r="H286" s="5" t="s">
        <v>144</v>
      </c>
      <c r="I286" s="21"/>
      <c r="J286" s="13"/>
      <c r="L286" s="26">
        <f>Table1345678101112131415161718192021222324252627283031323334[[#This Row],[الدولار]]+(Table1345678101112131415161718192021222324252627283031323334[[#This Row],[اللبناني]]/90)</f>
        <v>0</v>
      </c>
      <c r="M286" s="6"/>
    </row>
    <row r="287" spans="8:13" s="8" customFormat="1" x14ac:dyDescent="0.3">
      <c r="H287" s="5" t="s">
        <v>144</v>
      </c>
      <c r="I287" s="21"/>
      <c r="J287" s="13"/>
      <c r="L287" s="26">
        <f>Table1345678101112131415161718192021222324252627283031323334[[#This Row],[الدولار]]+(Table1345678101112131415161718192021222324252627283031323334[[#This Row],[اللبناني]]/90)</f>
        <v>0</v>
      </c>
      <c r="M287" s="6"/>
    </row>
    <row r="288" spans="8:13" s="8" customFormat="1" x14ac:dyDescent="0.3">
      <c r="H288" s="5" t="s">
        <v>144</v>
      </c>
      <c r="I288" s="21"/>
      <c r="J288" s="13"/>
      <c r="L288" s="26">
        <f>Table1345678101112131415161718192021222324252627283031323334[[#This Row],[الدولار]]+(Table1345678101112131415161718192021222324252627283031323334[[#This Row],[اللبناني]]/90)</f>
        <v>0</v>
      </c>
      <c r="M288" s="6"/>
    </row>
    <row r="289" spans="8:13" s="8" customFormat="1" x14ac:dyDescent="0.3">
      <c r="H289" s="5" t="s">
        <v>144</v>
      </c>
      <c r="I289" s="21"/>
      <c r="J289" s="13"/>
      <c r="L289" s="26">
        <f>Table1345678101112131415161718192021222324252627283031323334[[#This Row],[الدولار]]+(Table1345678101112131415161718192021222324252627283031323334[[#This Row],[اللبناني]]/90)</f>
        <v>0</v>
      </c>
      <c r="M289" s="6"/>
    </row>
    <row r="290" spans="8:13" s="8" customFormat="1" x14ac:dyDescent="0.3">
      <c r="H290" s="5" t="s">
        <v>144</v>
      </c>
      <c r="I290" s="21"/>
      <c r="J290" s="13"/>
      <c r="L290" s="26">
        <f>Table1345678101112131415161718192021222324252627283031323334[[#This Row],[الدولار]]+(Table1345678101112131415161718192021222324252627283031323334[[#This Row],[اللبناني]]/90)</f>
        <v>0</v>
      </c>
      <c r="M290" s="6"/>
    </row>
    <row r="291" spans="8:13" s="8" customFormat="1" x14ac:dyDescent="0.3">
      <c r="H291" s="5" t="s">
        <v>144</v>
      </c>
      <c r="I291" s="21"/>
      <c r="J291" s="13"/>
      <c r="L291" s="26">
        <f>Table1345678101112131415161718192021222324252627283031323334[[#This Row],[الدولار]]+(Table1345678101112131415161718192021222324252627283031323334[[#This Row],[اللبناني]]/90)</f>
        <v>0</v>
      </c>
      <c r="M291" s="6"/>
    </row>
    <row r="292" spans="8:13" s="8" customFormat="1" x14ac:dyDescent="0.3">
      <c r="H292" s="5" t="s">
        <v>144</v>
      </c>
      <c r="I292" s="21"/>
      <c r="J292" s="13"/>
      <c r="L292" s="26">
        <f>Table1345678101112131415161718192021222324252627283031323334[[#This Row],[الدولار]]+(Table1345678101112131415161718192021222324252627283031323334[[#This Row],[اللبناني]]/90)</f>
        <v>0</v>
      </c>
      <c r="M292" s="6"/>
    </row>
    <row r="293" spans="8:13" s="8" customFormat="1" x14ac:dyDescent="0.3">
      <c r="H293" s="5" t="s">
        <v>144</v>
      </c>
      <c r="I293" s="21"/>
      <c r="J293" s="13"/>
      <c r="L293" s="26">
        <f>Table1345678101112131415161718192021222324252627283031323334[[#This Row],[الدولار]]+(Table1345678101112131415161718192021222324252627283031323334[[#This Row],[اللبناني]]/90)</f>
        <v>0</v>
      </c>
      <c r="M293" s="6"/>
    </row>
    <row r="294" spans="8:13" s="8" customFormat="1" x14ac:dyDescent="0.3">
      <c r="H294" s="5" t="s">
        <v>144</v>
      </c>
      <c r="I294" s="21"/>
      <c r="J294" s="13"/>
      <c r="L294" s="26">
        <f>Table1345678101112131415161718192021222324252627283031323334[[#This Row],[الدولار]]+(Table1345678101112131415161718192021222324252627283031323334[[#This Row],[اللبناني]]/90)</f>
        <v>0</v>
      </c>
      <c r="M294" s="6"/>
    </row>
    <row r="295" spans="8:13" s="8" customFormat="1" x14ac:dyDescent="0.3">
      <c r="H295" s="5" t="s">
        <v>144</v>
      </c>
      <c r="I295" s="21"/>
      <c r="J295" s="13"/>
      <c r="L295" s="26">
        <f>Table1345678101112131415161718192021222324252627283031323334[[#This Row],[الدولار]]+(Table1345678101112131415161718192021222324252627283031323334[[#This Row],[اللبناني]]/90)</f>
        <v>0</v>
      </c>
      <c r="M295" s="6"/>
    </row>
    <row r="296" spans="8:13" s="8" customFormat="1" x14ac:dyDescent="0.3">
      <c r="H296" s="5" t="s">
        <v>144</v>
      </c>
      <c r="I296" s="21"/>
      <c r="J296" s="13"/>
      <c r="L296" s="26">
        <f>Table1345678101112131415161718192021222324252627283031323334[[#This Row],[الدولار]]+(Table1345678101112131415161718192021222324252627283031323334[[#This Row],[اللبناني]]/90)</f>
        <v>0</v>
      </c>
      <c r="M296" s="6"/>
    </row>
    <row r="297" spans="8:13" s="8" customFormat="1" x14ac:dyDescent="0.3">
      <c r="H297" s="5" t="s">
        <v>144</v>
      </c>
      <c r="I297" s="21"/>
      <c r="J297" s="13"/>
      <c r="L297" s="26">
        <f>Table1345678101112131415161718192021222324252627283031323334[[#This Row],[الدولار]]+(Table1345678101112131415161718192021222324252627283031323334[[#This Row],[اللبناني]]/90)</f>
        <v>0</v>
      </c>
      <c r="M297" s="6"/>
    </row>
    <row r="298" spans="8:13" s="8" customFormat="1" x14ac:dyDescent="0.3">
      <c r="H298" s="5" t="s">
        <v>144</v>
      </c>
      <c r="I298" s="21"/>
      <c r="J298" s="13"/>
      <c r="L298" s="26">
        <f>Table1345678101112131415161718192021222324252627283031323334[[#This Row],[الدولار]]+(Table1345678101112131415161718192021222324252627283031323334[[#This Row],[اللبناني]]/90)</f>
        <v>0</v>
      </c>
      <c r="M298" s="6"/>
    </row>
    <row r="299" spans="8:13" s="8" customFormat="1" x14ac:dyDescent="0.3">
      <c r="H299" s="5" t="s">
        <v>144</v>
      </c>
      <c r="I299" s="21"/>
      <c r="J299" s="13"/>
      <c r="L299" s="26">
        <f>Table1345678101112131415161718192021222324252627283031323334[[#This Row],[الدولار]]+(Table1345678101112131415161718192021222324252627283031323334[[#This Row],[اللبناني]]/90)</f>
        <v>0</v>
      </c>
      <c r="M299" s="6"/>
    </row>
    <row r="300" spans="8:13" s="8" customFormat="1" x14ac:dyDescent="0.3">
      <c r="H300" s="5" t="s">
        <v>144</v>
      </c>
      <c r="I300" s="21"/>
      <c r="J300" s="13"/>
      <c r="L300" s="26">
        <f>Table1345678101112131415161718192021222324252627283031323334[[#This Row],[الدولار]]+(Table1345678101112131415161718192021222324252627283031323334[[#This Row],[اللبناني]]/90)</f>
        <v>0</v>
      </c>
      <c r="M300" s="6"/>
    </row>
    <row r="301" spans="8:13" s="8" customFormat="1" x14ac:dyDescent="0.3">
      <c r="H301" s="5" t="s">
        <v>144</v>
      </c>
      <c r="I301" s="21"/>
      <c r="J301" s="13"/>
      <c r="L301" s="26">
        <f>Table1345678101112131415161718192021222324252627283031323334[[#This Row],[الدولار]]+(Table1345678101112131415161718192021222324252627283031323334[[#This Row],[اللبناني]]/90)</f>
        <v>0</v>
      </c>
      <c r="M301" s="6"/>
    </row>
    <row r="302" spans="8:13" s="8" customFormat="1" x14ac:dyDescent="0.3">
      <c r="H302" s="5" t="s">
        <v>144</v>
      </c>
      <c r="I302" s="21"/>
      <c r="J302" s="13"/>
      <c r="L302" s="26">
        <f>Table1345678101112131415161718192021222324252627283031323334[[#This Row],[الدولار]]+(Table1345678101112131415161718192021222324252627283031323334[[#This Row],[اللبناني]]/90)</f>
        <v>0</v>
      </c>
      <c r="M302" s="6"/>
    </row>
    <row r="303" spans="8:13" s="8" customFormat="1" x14ac:dyDescent="0.3">
      <c r="H303" s="5" t="s">
        <v>144</v>
      </c>
      <c r="I303" s="21"/>
      <c r="J303" s="13"/>
      <c r="L303" s="26">
        <f>Table1345678101112131415161718192021222324252627283031323334[[#This Row],[الدولار]]+(Table1345678101112131415161718192021222324252627283031323334[[#This Row],[اللبناني]]/90)</f>
        <v>0</v>
      </c>
      <c r="M303" s="6"/>
    </row>
    <row r="304" spans="8:13" s="8" customFormat="1" x14ac:dyDescent="0.3">
      <c r="H304" s="5" t="s">
        <v>144</v>
      </c>
      <c r="I304" s="21"/>
      <c r="J304" s="13"/>
      <c r="L304" s="26">
        <f>Table1345678101112131415161718192021222324252627283031323334[[#This Row],[الدولار]]+(Table1345678101112131415161718192021222324252627283031323334[[#This Row],[اللبناني]]/90)</f>
        <v>0</v>
      </c>
      <c r="M304" s="6"/>
    </row>
    <row r="305" spans="8:13" s="8" customFormat="1" x14ac:dyDescent="0.3">
      <c r="H305" s="5" t="s">
        <v>144</v>
      </c>
      <c r="I305" s="21"/>
      <c r="J305" s="13"/>
      <c r="L305" s="26">
        <f>Table1345678101112131415161718192021222324252627283031323334[[#This Row],[الدولار]]+(Table1345678101112131415161718192021222324252627283031323334[[#This Row],[اللبناني]]/90)</f>
        <v>0</v>
      </c>
      <c r="M305" s="6"/>
    </row>
    <row r="306" spans="8:13" s="8" customFormat="1" x14ac:dyDescent="0.3">
      <c r="H306" s="5" t="s">
        <v>144</v>
      </c>
      <c r="I306" s="21"/>
      <c r="J306" s="13"/>
      <c r="L306" s="26">
        <f>Table1345678101112131415161718192021222324252627283031323334[[#This Row],[الدولار]]+(Table1345678101112131415161718192021222324252627283031323334[[#This Row],[اللبناني]]/90)</f>
        <v>0</v>
      </c>
      <c r="M306" s="6"/>
    </row>
    <row r="307" spans="8:13" s="8" customFormat="1" x14ac:dyDescent="0.3">
      <c r="H307" s="5" t="s">
        <v>144</v>
      </c>
      <c r="I307" s="21"/>
      <c r="J307" s="13"/>
      <c r="L307" s="26">
        <f>Table1345678101112131415161718192021222324252627283031323334[[#This Row],[الدولار]]+(Table1345678101112131415161718192021222324252627283031323334[[#This Row],[اللبناني]]/90)</f>
        <v>0</v>
      </c>
      <c r="M307" s="6"/>
    </row>
    <row r="308" spans="8:13" s="8" customFormat="1" x14ac:dyDescent="0.3">
      <c r="H308" s="5" t="s">
        <v>144</v>
      </c>
      <c r="I308" s="21"/>
      <c r="J308" s="13"/>
      <c r="L308" s="26">
        <f>Table1345678101112131415161718192021222324252627283031323334[[#This Row],[الدولار]]+(Table1345678101112131415161718192021222324252627283031323334[[#This Row],[اللبناني]]/90)</f>
        <v>0</v>
      </c>
      <c r="M308" s="6"/>
    </row>
    <row r="309" spans="8:13" s="8" customFormat="1" x14ac:dyDescent="0.3">
      <c r="H309" s="5" t="s">
        <v>144</v>
      </c>
      <c r="I309" s="21"/>
      <c r="J309" s="13"/>
      <c r="L309" s="26">
        <f>Table1345678101112131415161718192021222324252627283031323334[[#This Row],[الدولار]]+(Table1345678101112131415161718192021222324252627283031323334[[#This Row],[اللبناني]]/90)</f>
        <v>0</v>
      </c>
      <c r="M309" s="6"/>
    </row>
    <row r="310" spans="8:13" s="8" customFormat="1" x14ac:dyDescent="0.3">
      <c r="H310" s="5" t="s">
        <v>144</v>
      </c>
      <c r="I310" s="21"/>
      <c r="J310" s="13"/>
      <c r="L310" s="26">
        <f>Table1345678101112131415161718192021222324252627283031323334[[#This Row],[الدولار]]+(Table1345678101112131415161718192021222324252627283031323334[[#This Row],[اللبناني]]/90)</f>
        <v>0</v>
      </c>
      <c r="M310" s="6"/>
    </row>
    <row r="311" spans="8:13" s="8" customFormat="1" x14ac:dyDescent="0.3">
      <c r="H311" s="5" t="s">
        <v>144</v>
      </c>
      <c r="I311" s="21"/>
      <c r="J311" s="13"/>
      <c r="L311" s="26">
        <f>Table1345678101112131415161718192021222324252627283031323334[[#This Row],[الدولار]]+(Table1345678101112131415161718192021222324252627283031323334[[#This Row],[اللبناني]]/90)</f>
        <v>0</v>
      </c>
      <c r="M311" s="6"/>
    </row>
    <row r="312" spans="8:13" s="8" customFormat="1" x14ac:dyDescent="0.3">
      <c r="H312" s="5" t="s">
        <v>144</v>
      </c>
      <c r="I312" s="21"/>
      <c r="J312" s="13"/>
      <c r="L312" s="26">
        <f>Table1345678101112131415161718192021222324252627283031323334[[#This Row],[الدولار]]+(Table1345678101112131415161718192021222324252627283031323334[[#This Row],[اللبناني]]/90)</f>
        <v>0</v>
      </c>
      <c r="M312" s="6"/>
    </row>
    <row r="313" spans="8:13" s="8" customFormat="1" x14ac:dyDescent="0.3">
      <c r="H313" s="5" t="s">
        <v>144</v>
      </c>
      <c r="I313" s="21"/>
      <c r="J313" s="13"/>
      <c r="L313" s="26">
        <f>Table1345678101112131415161718192021222324252627283031323334[[#This Row],[الدولار]]+(Table1345678101112131415161718192021222324252627283031323334[[#This Row],[اللبناني]]/90)</f>
        <v>0</v>
      </c>
      <c r="M313" s="6"/>
    </row>
    <row r="314" spans="8:13" s="8" customFormat="1" x14ac:dyDescent="0.3">
      <c r="H314" s="5" t="s">
        <v>144</v>
      </c>
      <c r="I314" s="21"/>
      <c r="J314" s="13"/>
      <c r="L314" s="26">
        <f>Table1345678101112131415161718192021222324252627283031323334[[#This Row],[الدولار]]+(Table1345678101112131415161718192021222324252627283031323334[[#This Row],[اللبناني]]/90)</f>
        <v>0</v>
      </c>
      <c r="M314" s="6"/>
    </row>
    <row r="315" spans="8:13" s="8" customFormat="1" x14ac:dyDescent="0.3">
      <c r="H315" s="5" t="s">
        <v>144</v>
      </c>
      <c r="I315" s="21"/>
      <c r="J315" s="13"/>
      <c r="L315" s="26">
        <f>Table1345678101112131415161718192021222324252627283031323334[[#This Row],[الدولار]]+(Table1345678101112131415161718192021222324252627283031323334[[#This Row],[اللبناني]]/90)</f>
        <v>0</v>
      </c>
      <c r="M315" s="6"/>
    </row>
    <row r="316" spans="8:13" s="8" customFormat="1" x14ac:dyDescent="0.3">
      <c r="H316" s="5" t="s">
        <v>144</v>
      </c>
      <c r="I316" s="21"/>
      <c r="J316" s="13"/>
      <c r="L316" s="26">
        <f>Table1345678101112131415161718192021222324252627283031323334[[#This Row],[الدولار]]+(Table1345678101112131415161718192021222324252627283031323334[[#This Row],[اللبناني]]/90)</f>
        <v>0</v>
      </c>
      <c r="M316" s="6"/>
    </row>
    <row r="317" spans="8:13" s="8" customFormat="1" x14ac:dyDescent="0.3">
      <c r="H317" s="5" t="s">
        <v>144</v>
      </c>
      <c r="I317" s="21"/>
      <c r="J317" s="13"/>
      <c r="L317" s="26">
        <f>Table1345678101112131415161718192021222324252627283031323334[[#This Row],[الدولار]]+(Table1345678101112131415161718192021222324252627283031323334[[#This Row],[اللبناني]]/90)</f>
        <v>0</v>
      </c>
      <c r="M317" s="6"/>
    </row>
    <row r="318" spans="8:13" s="8" customFormat="1" x14ac:dyDescent="0.3">
      <c r="H318" s="5" t="s">
        <v>144</v>
      </c>
      <c r="I318" s="21"/>
      <c r="J318" s="13"/>
      <c r="L318" s="26">
        <f>Table1345678101112131415161718192021222324252627283031323334[[#This Row],[الدولار]]+(Table1345678101112131415161718192021222324252627283031323334[[#This Row],[اللبناني]]/90)</f>
        <v>0</v>
      </c>
      <c r="M318" s="6"/>
    </row>
    <row r="319" spans="8:13" s="8" customFormat="1" x14ac:dyDescent="0.3">
      <c r="H319" s="5" t="s">
        <v>144</v>
      </c>
      <c r="I319" s="21"/>
      <c r="J319" s="13"/>
      <c r="L319" s="26">
        <f>Table1345678101112131415161718192021222324252627283031323334[[#This Row],[الدولار]]+(Table1345678101112131415161718192021222324252627283031323334[[#This Row],[اللبناني]]/90)</f>
        <v>0</v>
      </c>
      <c r="M319" s="6"/>
    </row>
    <row r="320" spans="8:13" s="8" customFormat="1" x14ac:dyDescent="0.3">
      <c r="H320" s="5" t="s">
        <v>144</v>
      </c>
      <c r="I320" s="21"/>
      <c r="J320" s="13"/>
      <c r="L320" s="26">
        <f>Table1345678101112131415161718192021222324252627283031323334[[#This Row],[الدولار]]+(Table1345678101112131415161718192021222324252627283031323334[[#This Row],[اللبناني]]/90)</f>
        <v>0</v>
      </c>
      <c r="M320" s="6"/>
    </row>
    <row r="321" spans="8:13" s="8" customFormat="1" x14ac:dyDescent="0.3">
      <c r="H321" s="5" t="s">
        <v>144</v>
      </c>
      <c r="I321" s="21"/>
      <c r="J321" s="13"/>
      <c r="L321" s="26">
        <f>Table1345678101112131415161718192021222324252627283031323334[[#This Row],[الدولار]]+(Table1345678101112131415161718192021222324252627283031323334[[#This Row],[اللبناني]]/90)</f>
        <v>0</v>
      </c>
      <c r="M321" s="6"/>
    </row>
    <row r="322" spans="8:13" s="8" customFormat="1" x14ac:dyDescent="0.3">
      <c r="H322" s="5" t="s">
        <v>144</v>
      </c>
      <c r="I322" s="21"/>
      <c r="J322" s="13"/>
      <c r="L322" s="26">
        <f>Table1345678101112131415161718192021222324252627283031323334[[#This Row],[الدولار]]+(Table1345678101112131415161718192021222324252627283031323334[[#This Row],[اللبناني]]/90)</f>
        <v>0</v>
      </c>
      <c r="M322" s="6"/>
    </row>
    <row r="323" spans="8:13" s="8" customFormat="1" x14ac:dyDescent="0.3">
      <c r="H323" s="5" t="s">
        <v>144</v>
      </c>
      <c r="I323" s="21"/>
      <c r="J323" s="13"/>
      <c r="L323" s="26">
        <f>Table1345678101112131415161718192021222324252627283031323334[[#This Row],[الدولار]]+(Table1345678101112131415161718192021222324252627283031323334[[#This Row],[اللبناني]]/90)</f>
        <v>0</v>
      </c>
      <c r="M323" s="6"/>
    </row>
    <row r="324" spans="8:13" s="8" customFormat="1" x14ac:dyDescent="0.3">
      <c r="H324" s="5" t="s">
        <v>144</v>
      </c>
      <c r="I324" s="21"/>
      <c r="J324" s="13"/>
      <c r="L324" s="26">
        <f>Table1345678101112131415161718192021222324252627283031323334[[#This Row],[الدولار]]+(Table1345678101112131415161718192021222324252627283031323334[[#This Row],[اللبناني]]/90)</f>
        <v>0</v>
      </c>
      <c r="M324" s="6"/>
    </row>
    <row r="325" spans="8:13" s="8" customFormat="1" x14ac:dyDescent="0.3">
      <c r="H325" s="5" t="s">
        <v>144</v>
      </c>
      <c r="I325" s="21"/>
      <c r="J325" s="13"/>
      <c r="L325" s="26">
        <f>Table1345678101112131415161718192021222324252627283031323334[[#This Row],[الدولار]]+(Table1345678101112131415161718192021222324252627283031323334[[#This Row],[اللبناني]]/90)</f>
        <v>0</v>
      </c>
      <c r="M325" s="6"/>
    </row>
    <row r="326" spans="8:13" s="8" customFormat="1" x14ac:dyDescent="0.3">
      <c r="H326" s="5" t="s">
        <v>144</v>
      </c>
      <c r="I326" s="21"/>
      <c r="J326" s="13"/>
      <c r="L326" s="26">
        <f>Table1345678101112131415161718192021222324252627283031323334[[#This Row],[الدولار]]+(Table1345678101112131415161718192021222324252627283031323334[[#This Row],[اللبناني]]/90)</f>
        <v>0</v>
      </c>
      <c r="M326" s="6"/>
    </row>
    <row r="327" spans="8:13" s="8" customFormat="1" x14ac:dyDescent="0.3">
      <c r="H327" s="5" t="s">
        <v>144</v>
      </c>
      <c r="I327" s="21"/>
      <c r="J327" s="13"/>
      <c r="L327" s="26">
        <f>Table1345678101112131415161718192021222324252627283031323334[[#This Row],[الدولار]]+(Table1345678101112131415161718192021222324252627283031323334[[#This Row],[اللبناني]]/90)</f>
        <v>0</v>
      </c>
      <c r="M327" s="6"/>
    </row>
    <row r="328" spans="8:13" s="8" customFormat="1" x14ac:dyDescent="0.3">
      <c r="H328" s="5" t="s">
        <v>144</v>
      </c>
      <c r="I328" s="21"/>
      <c r="J328" s="13"/>
      <c r="L328" s="26">
        <f>Table1345678101112131415161718192021222324252627283031323334[[#This Row],[الدولار]]+(Table1345678101112131415161718192021222324252627283031323334[[#This Row],[اللبناني]]/90)</f>
        <v>0</v>
      </c>
      <c r="M328" s="6"/>
    </row>
    <row r="329" spans="8:13" s="8" customFormat="1" x14ac:dyDescent="0.3">
      <c r="H329" s="5" t="s">
        <v>144</v>
      </c>
      <c r="I329" s="21"/>
      <c r="J329" s="13"/>
      <c r="L329" s="26">
        <f>Table1345678101112131415161718192021222324252627283031323334[[#This Row],[الدولار]]+(Table1345678101112131415161718192021222324252627283031323334[[#This Row],[اللبناني]]/90)</f>
        <v>0</v>
      </c>
      <c r="M329" s="6"/>
    </row>
    <row r="330" spans="8:13" s="8" customFormat="1" x14ac:dyDescent="0.3">
      <c r="H330" s="5" t="s">
        <v>144</v>
      </c>
      <c r="I330" s="21"/>
      <c r="J330" s="13"/>
      <c r="L330" s="26">
        <f>Table1345678101112131415161718192021222324252627283031323334[[#This Row],[الدولار]]+(Table1345678101112131415161718192021222324252627283031323334[[#This Row],[اللبناني]]/90)</f>
        <v>0</v>
      </c>
      <c r="M330" s="6"/>
    </row>
    <row r="331" spans="8:13" s="8" customFormat="1" x14ac:dyDescent="0.3">
      <c r="H331" s="5" t="s">
        <v>144</v>
      </c>
      <c r="I331" s="21"/>
      <c r="J331" s="13"/>
      <c r="L331" s="26">
        <f>Table1345678101112131415161718192021222324252627283031323334[[#This Row],[الدولار]]+(Table1345678101112131415161718192021222324252627283031323334[[#This Row],[اللبناني]]/90)</f>
        <v>0</v>
      </c>
      <c r="M331" s="6"/>
    </row>
    <row r="332" spans="8:13" s="8" customFormat="1" x14ac:dyDescent="0.3">
      <c r="H332" s="5" t="s">
        <v>144</v>
      </c>
      <c r="I332" s="21"/>
      <c r="J332" s="13"/>
      <c r="L332" s="26">
        <f>Table1345678101112131415161718192021222324252627283031323334[[#This Row],[الدولار]]+(Table1345678101112131415161718192021222324252627283031323334[[#This Row],[اللبناني]]/90)</f>
        <v>0</v>
      </c>
      <c r="M332" s="6"/>
    </row>
    <row r="333" spans="8:13" s="8" customFormat="1" x14ac:dyDescent="0.3">
      <c r="H333" s="5" t="s">
        <v>144</v>
      </c>
      <c r="I333" s="21"/>
      <c r="J333" s="13"/>
      <c r="L333" s="26">
        <f>Table1345678101112131415161718192021222324252627283031323334[[#This Row],[الدولار]]+(Table1345678101112131415161718192021222324252627283031323334[[#This Row],[اللبناني]]/90)</f>
        <v>0</v>
      </c>
      <c r="M333" s="6"/>
    </row>
    <row r="334" spans="8:13" s="8" customFormat="1" x14ac:dyDescent="0.3">
      <c r="H334" s="5" t="s">
        <v>144</v>
      </c>
      <c r="I334" s="21"/>
      <c r="J334" s="13"/>
      <c r="L334" s="26">
        <f>Table1345678101112131415161718192021222324252627283031323334[[#This Row],[الدولار]]+(Table1345678101112131415161718192021222324252627283031323334[[#This Row],[اللبناني]]/90)</f>
        <v>0</v>
      </c>
      <c r="M334" s="6"/>
    </row>
    <row r="335" spans="8:13" s="8" customFormat="1" x14ac:dyDescent="0.3">
      <c r="H335" s="5" t="s">
        <v>144</v>
      </c>
      <c r="I335" s="21"/>
      <c r="J335" s="13"/>
      <c r="L335" s="26">
        <f>Table1345678101112131415161718192021222324252627283031323334[[#This Row],[الدولار]]+(Table1345678101112131415161718192021222324252627283031323334[[#This Row],[اللبناني]]/90)</f>
        <v>0</v>
      </c>
      <c r="M335" s="6"/>
    </row>
    <row r="336" spans="8:13" s="8" customFormat="1" x14ac:dyDescent="0.3">
      <c r="H336" s="5" t="s">
        <v>144</v>
      </c>
      <c r="I336" s="21"/>
      <c r="J336" s="13"/>
      <c r="L336" s="26">
        <f>Table1345678101112131415161718192021222324252627283031323334[[#This Row],[الدولار]]+(Table1345678101112131415161718192021222324252627283031323334[[#This Row],[اللبناني]]/90)</f>
        <v>0</v>
      </c>
      <c r="M336" s="6"/>
    </row>
    <row r="337" spans="8:13" s="8" customFormat="1" x14ac:dyDescent="0.3">
      <c r="H337" s="5" t="s">
        <v>144</v>
      </c>
      <c r="I337" s="21"/>
      <c r="J337" s="13"/>
      <c r="L337" s="26">
        <f>Table1345678101112131415161718192021222324252627283031323334[[#This Row],[الدولار]]+(Table1345678101112131415161718192021222324252627283031323334[[#This Row],[اللبناني]]/90)</f>
        <v>0</v>
      </c>
      <c r="M337" s="6"/>
    </row>
    <row r="338" spans="8:13" s="8" customFormat="1" x14ac:dyDescent="0.3">
      <c r="H338" s="5" t="s">
        <v>144</v>
      </c>
      <c r="I338" s="21"/>
      <c r="J338" s="13"/>
      <c r="L338" s="26">
        <f>Table1345678101112131415161718192021222324252627283031323334[[#This Row],[الدولار]]+(Table1345678101112131415161718192021222324252627283031323334[[#This Row],[اللبناني]]/90)</f>
        <v>0</v>
      </c>
      <c r="M338" s="6"/>
    </row>
    <row r="339" spans="8:13" s="8" customFormat="1" x14ac:dyDescent="0.3">
      <c r="H339" s="5" t="s">
        <v>144</v>
      </c>
      <c r="I339" s="21"/>
      <c r="J339" s="13"/>
      <c r="L339" s="26">
        <f>Table1345678101112131415161718192021222324252627283031323334[[#This Row],[الدولار]]+(Table1345678101112131415161718192021222324252627283031323334[[#This Row],[اللبناني]]/90)</f>
        <v>0</v>
      </c>
      <c r="M339" s="6"/>
    </row>
    <row r="340" spans="8:13" s="8" customFormat="1" x14ac:dyDescent="0.3">
      <c r="H340" s="5" t="s">
        <v>144</v>
      </c>
      <c r="I340" s="21"/>
      <c r="J340" s="13"/>
      <c r="L340" s="26">
        <f>Table1345678101112131415161718192021222324252627283031323334[[#This Row],[الدولار]]+(Table1345678101112131415161718192021222324252627283031323334[[#This Row],[اللبناني]]/90)</f>
        <v>0</v>
      </c>
      <c r="M340" s="6"/>
    </row>
    <row r="341" spans="8:13" s="8" customFormat="1" x14ac:dyDescent="0.3">
      <c r="H341" s="5" t="s">
        <v>144</v>
      </c>
      <c r="I341" s="21"/>
      <c r="J341" s="13"/>
      <c r="L341" s="26">
        <f>Table1345678101112131415161718192021222324252627283031323334[[#This Row],[الدولار]]+(Table1345678101112131415161718192021222324252627283031323334[[#This Row],[اللبناني]]/90)</f>
        <v>0</v>
      </c>
      <c r="M341" s="6"/>
    </row>
    <row r="342" spans="8:13" s="8" customFormat="1" x14ac:dyDescent="0.3">
      <c r="H342" s="5" t="s">
        <v>144</v>
      </c>
      <c r="I342" s="21"/>
      <c r="J342" s="13"/>
      <c r="L342" s="26">
        <f>Table1345678101112131415161718192021222324252627283031323334[[#This Row],[الدولار]]+(Table1345678101112131415161718192021222324252627283031323334[[#This Row],[اللبناني]]/90)</f>
        <v>0</v>
      </c>
      <c r="M342" s="6"/>
    </row>
    <row r="343" spans="8:13" s="8" customFormat="1" x14ac:dyDescent="0.3">
      <c r="H343" s="5" t="s">
        <v>144</v>
      </c>
      <c r="I343" s="21"/>
      <c r="J343" s="13"/>
      <c r="L343" s="26">
        <f>Table1345678101112131415161718192021222324252627283031323334[[#This Row],[الدولار]]+(Table1345678101112131415161718192021222324252627283031323334[[#This Row],[اللبناني]]/90)</f>
        <v>0</v>
      </c>
      <c r="M343" s="6"/>
    </row>
    <row r="344" spans="8:13" s="8" customFormat="1" x14ac:dyDescent="0.3">
      <c r="H344" s="5" t="s">
        <v>144</v>
      </c>
      <c r="I344" s="21"/>
      <c r="J344" s="13"/>
      <c r="L344" s="26">
        <f>Table1345678101112131415161718192021222324252627283031323334[[#This Row],[الدولار]]+(Table1345678101112131415161718192021222324252627283031323334[[#This Row],[اللبناني]]/90)</f>
        <v>0</v>
      </c>
      <c r="M344" s="6"/>
    </row>
    <row r="345" spans="8:13" s="8" customFormat="1" x14ac:dyDescent="0.3">
      <c r="H345" s="5" t="s">
        <v>144</v>
      </c>
      <c r="I345" s="21"/>
      <c r="J345" s="13"/>
      <c r="L345" s="26">
        <f>Table1345678101112131415161718192021222324252627283031323334[[#This Row],[الدولار]]+(Table1345678101112131415161718192021222324252627283031323334[[#This Row],[اللبناني]]/90)</f>
        <v>0</v>
      </c>
      <c r="M345" s="6"/>
    </row>
    <row r="346" spans="8:13" s="8" customFormat="1" x14ac:dyDescent="0.3">
      <c r="H346" s="5" t="s">
        <v>144</v>
      </c>
      <c r="I346" s="21"/>
      <c r="J346" s="13"/>
      <c r="L346" s="26">
        <f>Table1345678101112131415161718192021222324252627283031323334[[#This Row],[الدولار]]+(Table1345678101112131415161718192021222324252627283031323334[[#This Row],[اللبناني]]/90)</f>
        <v>0</v>
      </c>
      <c r="M346" s="6"/>
    </row>
    <row r="347" spans="8:13" s="8" customFormat="1" x14ac:dyDescent="0.3">
      <c r="H347" s="5" t="s">
        <v>144</v>
      </c>
      <c r="I347" s="21"/>
      <c r="J347" s="13"/>
      <c r="L347" s="26">
        <f>Table1345678101112131415161718192021222324252627283031323334[[#This Row],[الدولار]]+(Table1345678101112131415161718192021222324252627283031323334[[#This Row],[اللبناني]]/90)</f>
        <v>0</v>
      </c>
      <c r="M347" s="6"/>
    </row>
    <row r="348" spans="8:13" s="8" customFormat="1" x14ac:dyDescent="0.3">
      <c r="H348" s="5" t="s">
        <v>144</v>
      </c>
      <c r="I348" s="21"/>
      <c r="J348" s="13"/>
      <c r="L348" s="26">
        <f>Table1345678101112131415161718192021222324252627283031323334[[#This Row],[الدولار]]+(Table1345678101112131415161718192021222324252627283031323334[[#This Row],[اللبناني]]/90)</f>
        <v>0</v>
      </c>
      <c r="M348" s="6"/>
    </row>
    <row r="349" spans="8:13" s="8" customFormat="1" x14ac:dyDescent="0.3">
      <c r="H349" s="5" t="s">
        <v>144</v>
      </c>
      <c r="I349" s="21"/>
      <c r="J349" s="13"/>
      <c r="L349" s="26">
        <f>Table1345678101112131415161718192021222324252627283031323334[[#This Row],[الدولار]]+(Table1345678101112131415161718192021222324252627283031323334[[#This Row],[اللبناني]]/90)</f>
        <v>0</v>
      </c>
      <c r="M349" s="6"/>
    </row>
    <row r="350" spans="8:13" s="8" customFormat="1" x14ac:dyDescent="0.3">
      <c r="H350" s="5" t="s">
        <v>144</v>
      </c>
      <c r="I350" s="21"/>
      <c r="J350" s="13"/>
      <c r="L350" s="26">
        <f>Table1345678101112131415161718192021222324252627283031323334[[#This Row],[الدولار]]+(Table1345678101112131415161718192021222324252627283031323334[[#This Row],[اللبناني]]/90)</f>
        <v>0</v>
      </c>
      <c r="M350" s="6"/>
    </row>
    <row r="351" spans="8:13" s="8" customFormat="1" x14ac:dyDescent="0.3">
      <c r="H351" s="5" t="s">
        <v>144</v>
      </c>
      <c r="I351" s="21"/>
      <c r="J351" s="13"/>
      <c r="L351" s="26">
        <f>Table1345678101112131415161718192021222324252627283031323334[[#This Row],[الدولار]]+(Table1345678101112131415161718192021222324252627283031323334[[#This Row],[اللبناني]]/90)</f>
        <v>0</v>
      </c>
      <c r="M351" s="6"/>
    </row>
    <row r="352" spans="8:13" s="8" customFormat="1" x14ac:dyDescent="0.3">
      <c r="H352" s="5" t="s">
        <v>144</v>
      </c>
      <c r="I352" s="21"/>
      <c r="J352" s="13"/>
      <c r="L352" s="26">
        <f>Table1345678101112131415161718192021222324252627283031323334[[#This Row],[الدولار]]+(Table1345678101112131415161718192021222324252627283031323334[[#This Row],[اللبناني]]/90)</f>
        <v>0</v>
      </c>
      <c r="M352" s="6"/>
    </row>
    <row r="353" spans="8:13" s="8" customFormat="1" x14ac:dyDescent="0.3">
      <c r="H353" s="5" t="s">
        <v>144</v>
      </c>
      <c r="I353" s="21"/>
      <c r="J353" s="13"/>
      <c r="L353" s="26">
        <f>Table1345678101112131415161718192021222324252627283031323334[[#This Row],[الدولار]]+(Table1345678101112131415161718192021222324252627283031323334[[#This Row],[اللبناني]]/90)</f>
        <v>0</v>
      </c>
      <c r="M353" s="6"/>
    </row>
    <row r="354" spans="8:13" s="8" customFormat="1" x14ac:dyDescent="0.3">
      <c r="H354" s="5" t="s">
        <v>144</v>
      </c>
      <c r="I354" s="21"/>
      <c r="J354" s="13"/>
      <c r="L354" s="26">
        <f>Table1345678101112131415161718192021222324252627283031323334[[#This Row],[الدولار]]+(Table1345678101112131415161718192021222324252627283031323334[[#This Row],[اللبناني]]/90)</f>
        <v>0</v>
      </c>
      <c r="M354" s="6"/>
    </row>
    <row r="355" spans="8:13" s="8" customFormat="1" x14ac:dyDescent="0.3">
      <c r="H355" s="5" t="s">
        <v>144</v>
      </c>
      <c r="I355" s="21"/>
      <c r="J355" s="13"/>
      <c r="L355" s="26">
        <f>Table1345678101112131415161718192021222324252627283031323334[[#This Row],[الدولار]]+(Table1345678101112131415161718192021222324252627283031323334[[#This Row],[اللبناني]]/90)</f>
        <v>0</v>
      </c>
      <c r="M355" s="6"/>
    </row>
    <row r="356" spans="8:13" s="8" customFormat="1" x14ac:dyDescent="0.3">
      <c r="H356" s="5" t="s">
        <v>144</v>
      </c>
      <c r="I356" s="21"/>
      <c r="J356" s="13"/>
      <c r="L356" s="26">
        <f>Table1345678101112131415161718192021222324252627283031323334[[#This Row],[الدولار]]+(Table1345678101112131415161718192021222324252627283031323334[[#This Row],[اللبناني]]/90)</f>
        <v>0</v>
      </c>
      <c r="M356" s="6"/>
    </row>
    <row r="357" spans="8:13" s="8" customFormat="1" x14ac:dyDescent="0.3">
      <c r="H357" s="5" t="s">
        <v>144</v>
      </c>
      <c r="I357" s="21"/>
      <c r="J357" s="13"/>
      <c r="L357" s="26">
        <f>Table1345678101112131415161718192021222324252627283031323334[[#This Row],[الدولار]]+(Table1345678101112131415161718192021222324252627283031323334[[#This Row],[اللبناني]]/90)</f>
        <v>0</v>
      </c>
      <c r="M357" s="6"/>
    </row>
    <row r="358" spans="8:13" s="8" customFormat="1" x14ac:dyDescent="0.3">
      <c r="H358" s="5" t="s">
        <v>144</v>
      </c>
      <c r="I358" s="21"/>
      <c r="J358" s="13"/>
      <c r="L358" s="26">
        <f>Table1345678101112131415161718192021222324252627283031323334[[#This Row],[الدولار]]+(Table1345678101112131415161718192021222324252627283031323334[[#This Row],[اللبناني]]/90)</f>
        <v>0</v>
      </c>
      <c r="M358" s="6"/>
    </row>
    <row r="359" spans="8:13" s="8" customFormat="1" x14ac:dyDescent="0.3">
      <c r="H359" s="5" t="s">
        <v>144</v>
      </c>
      <c r="I359" s="21"/>
      <c r="J359" s="13"/>
      <c r="L359" s="26">
        <f>Table1345678101112131415161718192021222324252627283031323334[[#This Row],[الدولار]]+(Table1345678101112131415161718192021222324252627283031323334[[#This Row],[اللبناني]]/90)</f>
        <v>0</v>
      </c>
      <c r="M359" s="6"/>
    </row>
    <row r="360" spans="8:13" s="8" customFormat="1" x14ac:dyDescent="0.3">
      <c r="H360" s="5" t="s">
        <v>144</v>
      </c>
      <c r="I360" s="21"/>
      <c r="J360" s="13"/>
      <c r="L360" s="26">
        <f>Table1345678101112131415161718192021222324252627283031323334[[#This Row],[الدولار]]+(Table1345678101112131415161718192021222324252627283031323334[[#This Row],[اللبناني]]/90)</f>
        <v>0</v>
      </c>
      <c r="M360" s="6"/>
    </row>
    <row r="361" spans="8:13" s="8" customFormat="1" x14ac:dyDescent="0.3">
      <c r="H361" s="5" t="s">
        <v>144</v>
      </c>
      <c r="I361" s="21"/>
      <c r="J361" s="13"/>
      <c r="L361" s="26">
        <f>Table1345678101112131415161718192021222324252627283031323334[[#This Row],[الدولار]]+(Table1345678101112131415161718192021222324252627283031323334[[#This Row],[اللبناني]]/90)</f>
        <v>0</v>
      </c>
      <c r="M361" s="6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.3" footer="0.3"/>
  <pageSetup paperSize="9" scale="65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38E96-016D-47BC-8A0A-B36A7FFBD306}">
  <dimension ref="A1:H34"/>
  <sheetViews>
    <sheetView rightToLeft="1" zoomScale="220" zoomScaleNormal="220" workbookViewId="0">
      <pane ySplit="2" topLeftCell="A6" activePane="bottomLeft" state="frozen"/>
      <selection pane="bottomLeft" activeCell="C6" sqref="C6"/>
    </sheetView>
  </sheetViews>
  <sheetFormatPr defaultRowHeight="14.4" x14ac:dyDescent="0.3"/>
  <cols>
    <col min="1" max="1" width="21.5546875" bestFit="1" customWidth="1"/>
    <col min="2" max="3" width="6.88671875" bestFit="1" customWidth="1"/>
    <col min="4" max="4" width="7.5546875" bestFit="1" customWidth="1"/>
    <col min="5" max="5" width="11.77734375" bestFit="1" customWidth="1"/>
  </cols>
  <sheetData>
    <row r="1" spans="1:8" x14ac:dyDescent="0.3">
      <c r="A1" s="39" t="s">
        <v>1</v>
      </c>
      <c r="B1" s="30">
        <f ca="1">SUM(B3:B32)</f>
        <v>31891.222222222223</v>
      </c>
      <c r="C1" s="30">
        <f ca="1">SUM(C3:C32)</f>
        <v>-3503.3333333333335</v>
      </c>
      <c r="D1" s="30">
        <f ca="1">SUM(D3:D32)</f>
        <v>-28965.444444444445</v>
      </c>
      <c r="E1" s="37">
        <f ca="1">IF(B1=0,"",C1/B1)*-1</f>
        <v>0.10985258918336986</v>
      </c>
    </row>
    <row r="2" spans="1:8" x14ac:dyDescent="0.3">
      <c r="A2" s="38" t="s">
        <v>147</v>
      </c>
      <c r="B2" s="38" t="s">
        <v>144</v>
      </c>
      <c r="C2" s="38" t="s">
        <v>145</v>
      </c>
      <c r="D2" s="38" t="s">
        <v>146</v>
      </c>
      <c r="E2" s="38" t="s">
        <v>223</v>
      </c>
    </row>
    <row r="3" spans="1:8" x14ac:dyDescent="0.3">
      <c r="A3" s="40">
        <v>46113</v>
      </c>
      <c r="B3" s="29">
        <f ca="1">IFERROR(SUMIFS(INDIRECT("'"&amp;TEXT(A3,"DD-MM")&amp;"'!L:L"),INDIRECT("'"&amp;TEXT(A3,"DD-MM")&amp;"'!H:H"),$B$2),"")</f>
        <v>790.33333333333314</v>
      </c>
      <c r="C3" s="29">
        <f ca="1">IFERROR(SUMIFS(INDIRECT("'"&amp;TEXT(A3,"DD-MM")&amp;"'!L:L"),INDIRECT("'"&amp;TEXT(A3,"DD-MM")&amp;"'!H:H"),$C$2),"")</f>
        <v>-1484.4444444444443</v>
      </c>
      <c r="D3" s="29">
        <f ca="1">IFERROR(SUMIFS(INDIRECT("'"&amp;TEXT(A3,"DD-MM")&amp;"'!L:L"),INDIRECT("'"&amp;TEXT(A3,"DD-MM")&amp;"'!H:H"),$D$2),"")</f>
        <v>-713.88888888888891</v>
      </c>
      <c r="E3" s="37">
        <f ca="1">IF(B3=0,"",C3/B3)*-1</f>
        <v>1.8782510895543374</v>
      </c>
    </row>
    <row r="4" spans="1:8" x14ac:dyDescent="0.3">
      <c r="A4" s="40">
        <v>46114</v>
      </c>
      <c r="B4" s="29">
        <f ca="1">IFERROR(SUMIFS(INDIRECT("'"&amp;TEXT(A4,"DD-MM")&amp;"'!L:L"),INDIRECT("'"&amp;TEXT(A4,"DD-MM")&amp;"'!H:H"),$B$2),"")</f>
        <v>6230.7222222222226</v>
      </c>
      <c r="C4" s="29">
        <f ca="1">IFERROR(SUMIFS(INDIRECT("'"&amp;TEXT(A4,"DD-MM")&amp;"'!L:L"),INDIRECT("'"&amp;TEXT(A4,"DD-MM")&amp;"'!H:H"),$C$2),"")</f>
        <v>-7.2222222222222232</v>
      </c>
      <c r="D4" s="29">
        <f ca="1">IFERROR(SUMIFS(INDIRECT("'"&amp;TEXT(A4,"DD-MM")&amp;"'!L:L"),INDIRECT("'"&amp;TEXT(A4,"DD-MM")&amp;"'!H:H"),$D$2),"")</f>
        <v>-5877.7777777777783</v>
      </c>
      <c r="E4" s="37">
        <f t="shared" ref="E4:E6" ca="1" si="0">IFERROR(IF(B4=0,"",C4/B4)*-1,"")</f>
        <v>1.1591308302051663E-3</v>
      </c>
    </row>
    <row r="5" spans="1:8" x14ac:dyDescent="0.3">
      <c r="A5" s="40">
        <v>46115</v>
      </c>
      <c r="B5" s="29">
        <f ca="1">IFERROR(SUMIFS(INDIRECT("'"&amp;TEXT(A5,"DD-MM")&amp;"'!L:L"),INDIRECT("'"&amp;TEXT(A5,"DD-MM")&amp;"'!H:H"),$B$2),"")</f>
        <v>2525.6111111111109</v>
      </c>
      <c r="C5" s="29">
        <f ca="1">IFERROR(SUMIFS(INDIRECT("'"&amp;TEXT(A5,"DD-MM")&amp;"'!L:L"),INDIRECT("'"&amp;TEXT(A5,"DD-MM")&amp;"'!H:H"),$C$2),"")</f>
        <v>-42.222222222222221</v>
      </c>
      <c r="D5" s="29">
        <f ca="1">IFERROR(SUMIFS(INDIRECT("'"&amp;TEXT(A5,"DD-MM")&amp;"'!L:L"),INDIRECT("'"&amp;TEXT(A5,"DD-MM")&amp;"'!H:H"),$D$2),"")</f>
        <v>-2402</v>
      </c>
      <c r="E5" s="37">
        <f t="shared" ca="1" si="0"/>
        <v>1.6717626097094214E-2</v>
      </c>
    </row>
    <row r="6" spans="1:8" x14ac:dyDescent="0.3">
      <c r="A6" s="40">
        <v>46116</v>
      </c>
      <c r="B6" s="29">
        <f t="shared" ref="B6:B32" ca="1" si="1">IFERROR(SUMIFS(INDIRECT("'"&amp;TEXT(A6,"DD-MM")&amp;"'!L:L"),INDIRECT("'"&amp;TEXT(A6,"DD-MM")&amp;"'!H:H"),$B$2),"")</f>
        <v>5398.9444444444453</v>
      </c>
      <c r="C6" s="29">
        <f t="shared" ref="C6:C32" ca="1" si="2">IFERROR(SUMIFS(INDIRECT("'"&amp;TEXT(A6,"DD-MM")&amp;"'!L:L"),INDIRECT("'"&amp;TEXT(A6,"DD-MM")&amp;"'!H:H"),$C$2),"")</f>
        <v>-1692</v>
      </c>
      <c r="D6" s="29">
        <f t="shared" ref="D6:D32" ca="1" si="3">IFERROR(SUMIFS(INDIRECT("'"&amp;TEXT(A6,"DD-MM")&amp;"'!L:L"),INDIRECT("'"&amp;TEXT(A6,"DD-MM")&amp;"'!H:H"),$D$2),"")</f>
        <v>-2648.6666666666661</v>
      </c>
      <c r="E6" s="37">
        <f t="shared" ca="1" si="0"/>
        <v>0.31339459359339783</v>
      </c>
      <c r="F6" s="30"/>
      <c r="G6" s="30"/>
      <c r="H6" s="37"/>
    </row>
    <row r="7" spans="1:8" x14ac:dyDescent="0.3">
      <c r="A7" s="41">
        <v>46117</v>
      </c>
      <c r="B7" s="42">
        <f t="shared" ca="1" si="1"/>
        <v>2000</v>
      </c>
      <c r="C7" s="42">
        <f t="shared" ca="1" si="2"/>
        <v>0</v>
      </c>
      <c r="D7" s="42">
        <f t="shared" ca="1" si="3"/>
        <v>-2000</v>
      </c>
      <c r="E7" s="43">
        <f ca="1">IFERROR(IF(B7=0,"",C7/B7)*-1,"")</f>
        <v>0</v>
      </c>
      <c r="F7" s="30">
        <f ca="1">SUM(B3:B7)</f>
        <v>16945.611111111109</v>
      </c>
      <c r="G7" s="30">
        <f ca="1">SUM(C3:C7)</f>
        <v>-3225.8888888888887</v>
      </c>
      <c r="H7" s="37">
        <f ca="1">IF(F7=0,"",G7/F7)*-1</f>
        <v>0.19036722061759684</v>
      </c>
    </row>
    <row r="8" spans="1:8" x14ac:dyDescent="0.3">
      <c r="A8" s="40">
        <v>46118</v>
      </c>
      <c r="B8" s="29">
        <f t="shared" ca="1" si="1"/>
        <v>1946.6666666666667</v>
      </c>
      <c r="C8" s="29">
        <f t="shared" ca="1" si="2"/>
        <v>-7.2222222222222232</v>
      </c>
      <c r="D8" s="29">
        <f t="shared" ca="1" si="3"/>
        <v>-252</v>
      </c>
      <c r="E8" s="37">
        <f t="shared" ref="E8:E13" ca="1" si="4">IFERROR(IF(B8=0,"",C8/B8)*-1,"")</f>
        <v>3.7100456621004568E-3</v>
      </c>
    </row>
    <row r="9" spans="1:8" x14ac:dyDescent="0.3">
      <c r="A9" s="40">
        <v>46119</v>
      </c>
      <c r="B9" s="29">
        <f t="shared" ca="1" si="1"/>
        <v>6921.1666666666688</v>
      </c>
      <c r="C9" s="29">
        <f t="shared" ca="1" si="2"/>
        <v>-100.55555555555556</v>
      </c>
      <c r="D9" s="29">
        <f t="shared" ca="1" si="3"/>
        <v>-3696.1111111111113</v>
      </c>
      <c r="E9" s="37">
        <f t="shared" ca="1" si="4"/>
        <v>1.4528700203080723E-2</v>
      </c>
    </row>
    <row r="10" spans="1:8" x14ac:dyDescent="0.3">
      <c r="A10" s="40">
        <v>46120</v>
      </c>
      <c r="B10" s="29">
        <f t="shared" ca="1" si="1"/>
        <v>3246.3888888888901</v>
      </c>
      <c r="C10" s="29">
        <f t="shared" ca="1" si="2"/>
        <v>-47.777777777777779</v>
      </c>
      <c r="D10" s="29">
        <f t="shared" ca="1" si="3"/>
        <v>-9326.1111111111113</v>
      </c>
      <c r="E10" s="37">
        <f t="shared" ca="1" si="4"/>
        <v>1.4717207153247192E-2</v>
      </c>
    </row>
    <row r="11" spans="1:8" x14ac:dyDescent="0.3">
      <c r="A11" s="40">
        <v>46121</v>
      </c>
      <c r="B11" s="29">
        <f t="shared" ca="1" si="1"/>
        <v>667.00000000000045</v>
      </c>
      <c r="C11" s="29">
        <f t="shared" ca="1" si="2"/>
        <v>-71.1111111111111</v>
      </c>
      <c r="D11" s="29">
        <f t="shared" ca="1" si="3"/>
        <v>-304.44444444444446</v>
      </c>
      <c r="E11" s="37">
        <f t="shared" ca="1" si="4"/>
        <v>0.10661335998667323</v>
      </c>
    </row>
    <row r="12" spans="1:8" x14ac:dyDescent="0.3">
      <c r="A12" s="40">
        <v>46122</v>
      </c>
      <c r="B12" s="29">
        <f t="shared" ca="1" si="1"/>
        <v>1748.0555555555554</v>
      </c>
      <c r="C12" s="29">
        <f t="shared" ca="1" si="2"/>
        <v>-47.444444444444443</v>
      </c>
      <c r="D12" s="29">
        <f t="shared" ca="1" si="3"/>
        <v>-1644.4444444444446</v>
      </c>
      <c r="E12" s="37">
        <f t="shared" ca="1" si="4"/>
        <v>2.7141268075639602E-2</v>
      </c>
    </row>
    <row r="13" spans="1:8" x14ac:dyDescent="0.3">
      <c r="A13" s="40">
        <v>46123</v>
      </c>
      <c r="B13" s="29">
        <f t="shared" ca="1" si="1"/>
        <v>416.33333333333331</v>
      </c>
      <c r="C13" s="29">
        <f t="shared" ca="1" si="2"/>
        <v>-3.3333333333333335</v>
      </c>
      <c r="D13" s="29">
        <f t="shared" ca="1" si="3"/>
        <v>-100</v>
      </c>
      <c r="E13" s="37">
        <f t="shared" ca="1" si="4"/>
        <v>8.0064051240992806E-3</v>
      </c>
      <c r="F13" s="30"/>
      <c r="G13" s="30"/>
      <c r="H13" s="37"/>
    </row>
    <row r="14" spans="1:8" x14ac:dyDescent="0.3">
      <c r="A14" s="41">
        <v>46124</v>
      </c>
      <c r="B14" s="42" t="str">
        <f t="shared" ca="1" si="1"/>
        <v/>
      </c>
      <c r="C14" s="42" t="str">
        <f t="shared" ca="1" si="2"/>
        <v/>
      </c>
      <c r="D14" s="42" t="str">
        <f t="shared" ca="1" si="3"/>
        <v/>
      </c>
      <c r="E14" s="44"/>
      <c r="F14" s="30">
        <f ca="1">SUM(B8:B14)</f>
        <v>14945.611111111115</v>
      </c>
      <c r="G14" s="30">
        <f ca="1">SUM(C8:C14)</f>
        <v>-277.44444444444446</v>
      </c>
      <c r="H14" s="37">
        <f ca="1">IF(F14=0,"",G14/F14)*-1</f>
        <v>1.8563606558595794E-2</v>
      </c>
    </row>
    <row r="15" spans="1:8" x14ac:dyDescent="0.3">
      <c r="A15" s="40">
        <v>46125</v>
      </c>
      <c r="B15" s="29" t="str">
        <f t="shared" ca="1" si="1"/>
        <v/>
      </c>
      <c r="C15" s="29" t="str">
        <f t="shared" ca="1" si="2"/>
        <v/>
      </c>
      <c r="D15" s="29" t="str">
        <f t="shared" ca="1" si="3"/>
        <v/>
      </c>
      <c r="E15" s="28"/>
    </row>
    <row r="16" spans="1:8" x14ac:dyDescent="0.3">
      <c r="A16" s="40">
        <v>46126</v>
      </c>
      <c r="B16" s="29" t="str">
        <f t="shared" ca="1" si="1"/>
        <v/>
      </c>
      <c r="C16" s="29" t="str">
        <f t="shared" ca="1" si="2"/>
        <v/>
      </c>
      <c r="D16" s="29" t="str">
        <f t="shared" ca="1" si="3"/>
        <v/>
      </c>
      <c r="E16" s="28"/>
    </row>
    <row r="17" spans="1:5" x14ac:dyDescent="0.3">
      <c r="A17" s="40">
        <v>46127</v>
      </c>
      <c r="B17" s="29" t="str">
        <f t="shared" ca="1" si="1"/>
        <v/>
      </c>
      <c r="C17" s="29" t="str">
        <f t="shared" ca="1" si="2"/>
        <v/>
      </c>
      <c r="D17" s="29" t="str">
        <f t="shared" ca="1" si="3"/>
        <v/>
      </c>
      <c r="E17" s="28"/>
    </row>
    <row r="18" spans="1:5" x14ac:dyDescent="0.3">
      <c r="A18" s="40">
        <v>46128</v>
      </c>
      <c r="B18" s="29" t="str">
        <f t="shared" ca="1" si="1"/>
        <v/>
      </c>
      <c r="C18" s="29" t="str">
        <f t="shared" ca="1" si="2"/>
        <v/>
      </c>
      <c r="D18" s="29" t="str">
        <f t="shared" ca="1" si="3"/>
        <v/>
      </c>
      <c r="E18" s="28"/>
    </row>
    <row r="19" spans="1:5" x14ac:dyDescent="0.3">
      <c r="A19" s="40">
        <v>46129</v>
      </c>
      <c r="B19" s="29" t="str">
        <f t="shared" ca="1" si="1"/>
        <v/>
      </c>
      <c r="C19" s="29" t="str">
        <f t="shared" ca="1" si="2"/>
        <v/>
      </c>
      <c r="D19" s="29" t="str">
        <f t="shared" ca="1" si="3"/>
        <v/>
      </c>
      <c r="E19" s="28"/>
    </row>
    <row r="20" spans="1:5" x14ac:dyDescent="0.3">
      <c r="A20" s="40">
        <v>46130</v>
      </c>
      <c r="B20" s="29" t="str">
        <f t="shared" ca="1" si="1"/>
        <v/>
      </c>
      <c r="C20" s="29" t="str">
        <f t="shared" ca="1" si="2"/>
        <v/>
      </c>
      <c r="D20" s="29" t="str">
        <f t="shared" ca="1" si="3"/>
        <v/>
      </c>
      <c r="E20" s="28"/>
    </row>
    <row r="21" spans="1:5" x14ac:dyDescent="0.3">
      <c r="A21" s="41">
        <v>46131</v>
      </c>
      <c r="B21" s="42" t="str">
        <f t="shared" ca="1" si="1"/>
        <v/>
      </c>
      <c r="C21" s="42" t="str">
        <f t="shared" ca="1" si="2"/>
        <v/>
      </c>
      <c r="D21" s="42" t="str">
        <f t="shared" ca="1" si="3"/>
        <v/>
      </c>
      <c r="E21" s="44"/>
    </row>
    <row r="22" spans="1:5" x14ac:dyDescent="0.3">
      <c r="A22" s="40">
        <v>46132</v>
      </c>
      <c r="B22" s="29" t="str">
        <f t="shared" ca="1" si="1"/>
        <v/>
      </c>
      <c r="C22" s="29" t="str">
        <f t="shared" ca="1" si="2"/>
        <v/>
      </c>
      <c r="D22" s="29" t="str">
        <f t="shared" ca="1" si="3"/>
        <v/>
      </c>
      <c r="E22" s="28"/>
    </row>
    <row r="23" spans="1:5" x14ac:dyDescent="0.3">
      <c r="A23" s="40">
        <v>46133</v>
      </c>
      <c r="B23" s="29" t="str">
        <f t="shared" ca="1" si="1"/>
        <v/>
      </c>
      <c r="C23" s="29" t="str">
        <f t="shared" ca="1" si="2"/>
        <v/>
      </c>
      <c r="D23" s="29" t="str">
        <f t="shared" ca="1" si="3"/>
        <v/>
      </c>
      <c r="E23" s="28"/>
    </row>
    <row r="24" spans="1:5" x14ac:dyDescent="0.3">
      <c r="A24" s="40">
        <v>46134</v>
      </c>
      <c r="B24" s="29" t="str">
        <f t="shared" ca="1" si="1"/>
        <v/>
      </c>
      <c r="C24" s="29" t="str">
        <f t="shared" ca="1" si="2"/>
        <v/>
      </c>
      <c r="D24" s="29" t="str">
        <f t="shared" ca="1" si="3"/>
        <v/>
      </c>
      <c r="E24" s="28"/>
    </row>
    <row r="25" spans="1:5" x14ac:dyDescent="0.3">
      <c r="A25" s="40">
        <v>46135</v>
      </c>
      <c r="B25" s="29" t="str">
        <f t="shared" ca="1" si="1"/>
        <v/>
      </c>
      <c r="C25" s="29" t="str">
        <f t="shared" ca="1" si="2"/>
        <v/>
      </c>
      <c r="D25" s="29" t="str">
        <f t="shared" ca="1" si="3"/>
        <v/>
      </c>
      <c r="E25" s="28"/>
    </row>
    <row r="26" spans="1:5" x14ac:dyDescent="0.3">
      <c r="A26" s="40">
        <v>46136</v>
      </c>
      <c r="B26" s="29" t="str">
        <f t="shared" ca="1" si="1"/>
        <v/>
      </c>
      <c r="C26" s="29" t="str">
        <f t="shared" ca="1" si="2"/>
        <v/>
      </c>
      <c r="D26" s="29" t="str">
        <f t="shared" ca="1" si="3"/>
        <v/>
      </c>
      <c r="E26" s="28"/>
    </row>
    <row r="27" spans="1:5" x14ac:dyDescent="0.3">
      <c r="A27" s="40">
        <v>46137</v>
      </c>
      <c r="B27" s="29" t="str">
        <f t="shared" ca="1" si="1"/>
        <v/>
      </c>
      <c r="C27" s="29" t="str">
        <f t="shared" ca="1" si="2"/>
        <v/>
      </c>
      <c r="D27" s="29" t="str">
        <f t="shared" ca="1" si="3"/>
        <v/>
      </c>
      <c r="E27" s="28"/>
    </row>
    <row r="28" spans="1:5" x14ac:dyDescent="0.3">
      <c r="A28" s="41">
        <v>46138</v>
      </c>
      <c r="B28" s="42" t="str">
        <f t="shared" ca="1" si="1"/>
        <v/>
      </c>
      <c r="C28" s="42" t="str">
        <f t="shared" ca="1" si="2"/>
        <v/>
      </c>
      <c r="D28" s="42" t="str">
        <f t="shared" ca="1" si="3"/>
        <v/>
      </c>
      <c r="E28" s="44"/>
    </row>
    <row r="29" spans="1:5" x14ac:dyDescent="0.3">
      <c r="A29" s="40">
        <v>46139</v>
      </c>
      <c r="B29" s="29" t="str">
        <f t="shared" ca="1" si="1"/>
        <v/>
      </c>
      <c r="C29" s="29" t="str">
        <f t="shared" ca="1" si="2"/>
        <v/>
      </c>
      <c r="D29" s="29" t="str">
        <f t="shared" ca="1" si="3"/>
        <v/>
      </c>
      <c r="E29" s="28"/>
    </row>
    <row r="30" spans="1:5" x14ac:dyDescent="0.3">
      <c r="A30" s="40">
        <v>46140</v>
      </c>
      <c r="B30" s="29" t="str">
        <f t="shared" ca="1" si="1"/>
        <v/>
      </c>
      <c r="C30" s="29" t="str">
        <f t="shared" ca="1" si="2"/>
        <v/>
      </c>
      <c r="D30" s="29" t="str">
        <f t="shared" ca="1" si="3"/>
        <v/>
      </c>
      <c r="E30" s="28"/>
    </row>
    <row r="31" spans="1:5" x14ac:dyDescent="0.3">
      <c r="A31" s="40">
        <v>46141</v>
      </c>
      <c r="B31" s="29" t="str">
        <f t="shared" ca="1" si="1"/>
        <v/>
      </c>
      <c r="C31" s="29" t="str">
        <f t="shared" ca="1" si="2"/>
        <v/>
      </c>
      <c r="D31" s="29" t="str">
        <f t="shared" ca="1" si="3"/>
        <v/>
      </c>
      <c r="E31" s="28"/>
    </row>
    <row r="32" spans="1:5" x14ac:dyDescent="0.3">
      <c r="A32" s="40">
        <v>46142</v>
      </c>
      <c r="B32" s="29" t="str">
        <f t="shared" ca="1" si="1"/>
        <v/>
      </c>
      <c r="C32" s="29" t="str">
        <f t="shared" ca="1" si="2"/>
        <v/>
      </c>
      <c r="D32" s="29" t="str">
        <f t="shared" ca="1" si="3"/>
        <v/>
      </c>
      <c r="E32" s="28"/>
    </row>
    <row r="33" spans="1:1" x14ac:dyDescent="0.3">
      <c r="A33" s="27"/>
    </row>
    <row r="34" spans="1:1" x14ac:dyDescent="0.3">
      <c r="A34" s="27"/>
    </row>
  </sheetData>
  <conditionalFormatting sqref="E1:E1048576">
    <cfRule type="cellIs" dxfId="6" priority="3" operator="lessThan">
      <formula>0</formula>
    </cfRule>
  </conditionalFormatting>
  <conditionalFormatting sqref="H6:H7">
    <cfRule type="cellIs" dxfId="5" priority="2" operator="lessThan">
      <formula>0</formula>
    </cfRule>
  </conditionalFormatting>
  <conditionalFormatting sqref="H13:H14">
    <cfRule type="cellIs" dxfId="4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ملخص شهر 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2026-04-04T08:53:42Z</cp:lastPrinted>
  <dcterms:created xsi:type="dcterms:W3CDTF">2015-06-05T18:17:20Z</dcterms:created>
  <dcterms:modified xsi:type="dcterms:W3CDTF">2026-04-11T08:27:20Z</dcterms:modified>
</cp:coreProperties>
</file>